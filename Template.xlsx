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CBAAB94-F0D8-49CC-83F6-43C966D32CA5}" xr6:coauthVersionLast="47" xr6:coauthVersionMax="47" xr10:uidLastSave="{00000000-0000-0000-0000-000000000000}"/>
  <bookViews>
    <workbookView xWindow="-120" yWindow="-120" windowWidth="20730" windowHeight="11160" firstSheet="18" activeTab="10" xr2:uid="{00000000-000D-0000-FFFF-FFFF00000000}"/>
  </bookViews>
  <sheets>
    <sheet name="support table" sheetId="82" r:id="rId1"/>
    <sheet name="ATP CW Cover" sheetId="2" r:id="rId2"/>
    <sheet name="MASTER_FAT" sheetId="3" r:id="rId3"/>
    <sheet name="FDT" sheetId="4" r:id="rId4"/>
    <sheet name="MASTER_POLE" sheetId="77" r:id="rId5"/>
    <sheet name="Trenching" sheetId="5" r:id="rId6"/>
    <sheet name="Road and Railway" sheetId="6" r:id="rId7"/>
    <sheet name="Bridges Crossing" sheetId="7" r:id="rId8"/>
    <sheet name="Precast Handhole" sheetId="8" r:id="rId9"/>
    <sheet name="Handhole" sheetId="9" r:id="rId10"/>
    <sheet name="Boring Rojok Manual" sheetId="10" r:id="rId11"/>
    <sheet name="Building cable access" sheetId="11" r:id="rId12"/>
    <sheet name="Cable installation" sheetId="13" r:id="rId13"/>
    <sheet name="BA RECTIFIKASI CW ATP" sheetId="15" r:id="rId14"/>
    <sheet name="CW Punchpoint defect list" sheetId="14" r:id="rId15"/>
    <sheet name="Cover CW OPM" sheetId="83" r:id="rId16"/>
    <sheet name="MASTER_OPM" sheetId="84" r:id="rId17"/>
    <sheet name="MASTER_OPM_DISTRIBUTION" sheetId="18" r:id="rId18"/>
    <sheet name="MASTER OTDR Sumary (FDT-FAT)" sheetId="85" r:id="rId19"/>
    <sheet name="OTDR Summary " sheetId="88" r:id="rId20"/>
    <sheet name="OPM Punchpoint defect list" sheetId="86" r:id="rId21"/>
    <sheet name="BA RECTIFIKASI OPM" sheetId="90" r:id="rId22"/>
    <sheet name="BA Splitter FDT" sheetId="22" r:id="rId23"/>
    <sheet name="BA Splitter FAT" sheetId="87" r:id="rId24"/>
    <sheet name="BAST Key" sheetId="21" r:id="rId25"/>
    <sheet name="BA LAPANGAN" sheetId="23" r:id="rId26"/>
  </sheets>
  <externalReferences>
    <externalReference r:id="rId27"/>
  </externalReferences>
  <definedNames>
    <definedName name="_xlnm.Print_Area" localSheetId="14">'CW Punchpoint defect list'!$A$1:$G$37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5" roundtripDataChecksum="oTMLP1AvsKxtxdJD5VIwDCYFKeVZZudjMbgGHI+EtRo="/>
    </ext>
  </extLst>
</workbook>
</file>

<file path=xl/calcChain.xml><?xml version="1.0" encoding="utf-8"?>
<calcChain xmlns="http://schemas.openxmlformats.org/spreadsheetml/2006/main">
  <c r="K56" i="90" l="1"/>
  <c r="C56" i="90"/>
  <c r="H48" i="90"/>
  <c r="B48" i="90"/>
  <c r="C20" i="90"/>
  <c r="C18" i="90"/>
  <c r="C12" i="90"/>
  <c r="C11" i="90"/>
  <c r="C8" i="90"/>
  <c r="C7" i="90"/>
  <c r="K70" i="88"/>
  <c r="A70" i="88"/>
  <c r="N7" i="85"/>
  <c r="J8" i="88"/>
  <c r="J7" i="88"/>
  <c r="D8" i="88"/>
  <c r="D7" i="88"/>
  <c r="D6" i="88"/>
  <c r="J6" i="88"/>
  <c r="A24" i="3"/>
  <c r="C4" i="3"/>
  <c r="A21" i="2"/>
  <c r="I21" i="22"/>
  <c r="I22" i="22"/>
  <c r="I23" i="22"/>
  <c r="I24" i="22"/>
  <c r="I25" i="22"/>
  <c r="I26" i="22"/>
  <c r="I27" i="22"/>
  <c r="I28" i="22"/>
  <c r="I29" i="22"/>
  <c r="I20" i="22"/>
  <c r="H50" i="87"/>
  <c r="H50" i="22"/>
  <c r="B50" i="87"/>
  <c r="B50" i="22"/>
  <c r="D17" i="87"/>
  <c r="D17" i="22"/>
  <c r="D15" i="87"/>
  <c r="D15" i="22"/>
  <c r="D14" i="87"/>
  <c r="D14" i="22"/>
  <c r="G33" i="86"/>
  <c r="F33" i="86"/>
  <c r="D33" i="86"/>
  <c r="A33" i="86"/>
  <c r="A66" i="85"/>
  <c r="C4" i="86"/>
  <c r="C3" i="86"/>
  <c r="C2" i="86"/>
  <c r="M66" i="85"/>
  <c r="N6" i="85"/>
  <c r="N5" i="85"/>
  <c r="E7" i="85"/>
  <c r="I3" i="84"/>
  <c r="L32" i="84"/>
  <c r="A32" i="84"/>
  <c r="D15" i="83"/>
  <c r="F20" i="83"/>
  <c r="D33" i="14"/>
  <c r="B20" i="83"/>
  <c r="A33" i="14"/>
  <c r="N4" i="84"/>
  <c r="B5" i="84"/>
  <c r="B3" i="84"/>
  <c r="E6" i="85"/>
  <c r="E5" i="85"/>
  <c r="B4" i="84"/>
  <c r="I16" i="23" l="1"/>
  <c r="J63" i="23"/>
  <c r="I15" i="23"/>
  <c r="B16" i="23"/>
  <c r="G63" i="23"/>
  <c r="B15" i="23"/>
  <c r="D9" i="23"/>
  <c r="D7" i="23"/>
  <c r="P52" i="21"/>
  <c r="C16" i="21"/>
  <c r="I21" i="21"/>
  <c r="C17" i="21"/>
  <c r="B52" i="21"/>
  <c r="C11" i="21"/>
  <c r="D21" i="21"/>
  <c r="C12" i="21"/>
  <c r="C27" i="21"/>
  <c r="I27" i="21"/>
  <c r="D27" i="21"/>
  <c r="B27" i="21"/>
  <c r="P51" i="18"/>
  <c r="A51" i="18"/>
  <c r="P5" i="18"/>
  <c r="B5" i="18"/>
  <c r="B6" i="18"/>
  <c r="I4" i="18"/>
  <c r="B4" i="18"/>
  <c r="G33" i="14"/>
  <c r="F33" i="14"/>
  <c r="C4" i="14"/>
  <c r="C3" i="14"/>
  <c r="C2" i="14"/>
  <c r="K56" i="15"/>
  <c r="C11" i="15"/>
  <c r="H48" i="15"/>
  <c r="C12" i="15"/>
  <c r="C56" i="15"/>
  <c r="C7" i="15"/>
  <c r="B48" i="15"/>
  <c r="C8" i="15"/>
  <c r="C20" i="15"/>
  <c r="C18" i="15"/>
  <c r="F29" i="13"/>
  <c r="A29" i="13"/>
  <c r="A26" i="13"/>
  <c r="F5" i="13"/>
  <c r="C5" i="13"/>
  <c r="F6" i="13"/>
  <c r="C6" i="13"/>
  <c r="F4" i="13"/>
  <c r="C4" i="13"/>
  <c r="F20" i="11"/>
  <c r="A20" i="11"/>
  <c r="A15" i="11"/>
  <c r="F5" i="11"/>
  <c r="C5" i="11"/>
  <c r="F6" i="11"/>
  <c r="C6" i="11"/>
  <c r="F4" i="11"/>
  <c r="C4" i="11"/>
  <c r="F18" i="10"/>
  <c r="A18" i="10"/>
  <c r="F5" i="10"/>
  <c r="C5" i="10"/>
  <c r="F6" i="10"/>
  <c r="C6" i="10"/>
  <c r="F4" i="10"/>
  <c r="C4" i="10"/>
  <c r="F40" i="9"/>
  <c r="A40" i="9"/>
  <c r="A34" i="9"/>
  <c r="F5" i="9"/>
  <c r="C5" i="9"/>
  <c r="F6" i="9"/>
  <c r="C6" i="9"/>
  <c r="F4" i="9"/>
  <c r="C4" i="9"/>
  <c r="F40" i="8"/>
  <c r="A40" i="8"/>
  <c r="A34" i="8"/>
  <c r="F5" i="8"/>
  <c r="C5" i="8"/>
  <c r="F6" i="8"/>
  <c r="C6" i="8"/>
  <c r="F4" i="8"/>
  <c r="C4" i="8"/>
  <c r="G33" i="7"/>
  <c r="D33" i="7"/>
  <c r="A27" i="7"/>
  <c r="F5" i="7"/>
  <c r="C5" i="7"/>
  <c r="F6" i="7"/>
  <c r="C6" i="7"/>
  <c r="F4" i="7"/>
  <c r="C4" i="7"/>
  <c r="F18" i="6"/>
  <c r="A18" i="6"/>
  <c r="A15" i="6"/>
  <c r="F5" i="6"/>
  <c r="C5" i="6"/>
  <c r="F6" i="6"/>
  <c r="C6" i="6"/>
  <c r="F4" i="6"/>
  <c r="C4" i="6"/>
  <c r="G23" i="5"/>
  <c r="A23" i="5"/>
  <c r="A20" i="5"/>
  <c r="G5" i="5"/>
  <c r="C5" i="5"/>
  <c r="G6" i="5"/>
  <c r="C6" i="5"/>
  <c r="G4" i="5"/>
  <c r="C4" i="5"/>
  <c r="J35" i="77"/>
  <c r="A35" i="77"/>
  <c r="A32" i="77"/>
  <c r="I5" i="77"/>
  <c r="D5" i="77"/>
  <c r="I6" i="77"/>
  <c r="D6" i="77"/>
  <c r="I4" i="77"/>
  <c r="D4" i="77"/>
  <c r="G26" i="4"/>
  <c r="A26" i="4"/>
  <c r="A23" i="4"/>
  <c r="G5" i="4"/>
  <c r="C5" i="4"/>
  <c r="G6" i="4"/>
  <c r="C6" i="4"/>
  <c r="G4" i="4"/>
  <c r="C4" i="4"/>
  <c r="F24" i="3"/>
  <c r="F5" i="3"/>
  <c r="A21" i="3"/>
  <c r="C5" i="3"/>
  <c r="F6" i="3"/>
  <c r="C6" i="3"/>
  <c r="F4" i="3"/>
  <c r="A36" i="2"/>
  <c r="A27" i="2"/>
  <c r="A34" i="2"/>
  <c r="A46" i="2"/>
  <c r="A32" i="2"/>
  <c r="F30" i="2"/>
  <c r="O27" i="21"/>
  <c r="K27" i="21"/>
</calcChain>
</file>

<file path=xl/sharedStrings.xml><?xml version="1.0" encoding="utf-8"?>
<sst xmlns="http://schemas.openxmlformats.org/spreadsheetml/2006/main" count="1696" uniqueCount="548">
  <si>
    <t>Address</t>
  </si>
  <si>
    <t>Region</t>
  </si>
  <si>
    <t>OLT Name</t>
  </si>
  <si>
    <t>Cluster ID</t>
  </si>
  <si>
    <t>ACCEPTANCE TEST PROCEDURE</t>
  </si>
  <si>
    <t>For</t>
  </si>
  <si>
    <t xml:space="preserve">Cluster Name : </t>
  </si>
  <si>
    <t>LOGO VENDOR</t>
  </si>
  <si>
    <t>Acceptance Test Procedure</t>
  </si>
  <si>
    <t>Checklist for Fiber Access Terminal (FAT)</t>
  </si>
  <si>
    <t>Region :</t>
  </si>
  <si>
    <t>Cluster :</t>
  </si>
  <si>
    <t>Link From :</t>
  </si>
  <si>
    <t>To :</t>
  </si>
  <si>
    <t>Address :</t>
  </si>
  <si>
    <t>No.</t>
  </si>
  <si>
    <t>Item</t>
  </si>
  <si>
    <t>Requirements</t>
  </si>
  <si>
    <t>Comment</t>
  </si>
  <si>
    <t>Position</t>
  </si>
  <si>
    <t>Check the position of FAT is installed according to the Design plan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</si>
  <si>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</si>
  <si>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Check the stability of FAT and or pedestal fixed on pole/pedestal/wall as per the Design plan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</si>
  <si>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</si>
  <si>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Check the pedestal foundation according to the standard design plan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</si>
  <si>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</si>
  <si>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Condition</t>
  </si>
  <si>
    <t>Ensure the Pedestal and or FAT body is not damage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</si>
  <si>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</si>
  <si>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FAT adapters are not damage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</si>
  <si>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</si>
  <si>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FAT pigtails not damage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</si>
  <si>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</si>
  <si>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FAT adapters &amp; connectors are using SC/APC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</si>
  <si>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</si>
  <si>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FAT and or pedestal can be open and locked properly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</si>
  <si>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</si>
  <si>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Connection</t>
  </si>
  <si>
    <t>Ensure the connectors are plugged properly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</si>
  <si>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</si>
  <si>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no pigtail pinched or bending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</si>
  <si>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</si>
  <si>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Label FAT</t>
  </si>
  <si>
    <t>Check the FAT label and numbering according MR numbering plan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</si>
  <si>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</si>
  <si>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Check the cable label and pigtail label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</si>
  <si>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</si>
  <si>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Signatures:</t>
  </si>
  <si>
    <t xml:space="preserve">Responsible Vendor                                                                                                     </t>
  </si>
  <si>
    <t>Responsible Customer</t>
  </si>
  <si>
    <t>Name:</t>
  </si>
  <si>
    <t>ID:</t>
  </si>
  <si>
    <t>Signature:</t>
  </si>
  <si>
    <t>Signature</t>
  </si>
  <si>
    <t>Date:</t>
  </si>
  <si>
    <t>Checklist for Fiber Distribution Terminal (FDT)</t>
  </si>
  <si>
    <t>Check the position of FDT is installed according to the Design plan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</si>
  <si>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</si>
  <si>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Check the stability of FDT fixed on the concrete foundation as per Design plan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</si>
  <si>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</si>
  <si>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Check the FDT foundation according to the standard design plan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</si>
  <si>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</si>
  <si>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FDT body is not damage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</si>
  <si>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</si>
  <si>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FDT adapters are not damage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</si>
  <si>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</si>
  <si>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FDT pigtails not damage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</si>
  <si>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</si>
  <si>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Splitters installed properly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</si>
  <si>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</si>
  <si>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FDT splitters, adapters &amp; connectors are using SC/APC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</si>
  <si>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</si>
  <si>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the FDT door can be open and locked properly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</si>
  <si>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</si>
  <si>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</si>
  <si>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</si>
  <si>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Ensure cable route are installed neat &amp; properly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</si>
  <si>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</si>
  <si>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Label FDT</t>
  </si>
  <si>
    <t>Check the FDT label and numbering according MR numbering plan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</si>
  <si>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</si>
  <si>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</si>
  <si>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Checklist for Civil work- Trench &amp; HDPE laying</t>
  </si>
  <si>
    <t>Trenching</t>
  </si>
  <si>
    <t>The depth of the trench complies the standard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</si>
  <si>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</si>
  <si>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HDPE duct laying</t>
  </si>
  <si>
    <t>Ensure the duct is not damaged and ends are always covered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</si>
  <si>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</si>
  <si>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no damage during placement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</si>
  <si>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</si>
  <si>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Correct method of duct coupling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</si>
  <si>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</si>
  <si>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Backfilling</t>
  </si>
  <si>
    <t>Backfilling &amp; Compaction with same soft soil excavated from the trench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</si>
  <si>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</si>
  <si>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 xml:space="preserve"> Warning tape</t>
  </si>
  <si>
    <t>Installation of  the warning tape comply standard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</si>
  <si>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</si>
  <si>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the logo on the tape is clear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</si>
  <si>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</si>
  <si>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Reinstatement</t>
  </si>
  <si>
    <t xml:space="preserve">Asphalt road  reinstatement comply with the standard 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</si>
  <si>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</si>
  <si>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 xml:space="preserve">Reinstatement of pavement  comply with standard 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</si>
  <si>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</si>
  <si>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Concrete  reinstatement done comply with sandard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</si>
  <si>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</si>
  <si>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 xml:space="preserve">Reinstatement of grass  comply with standard 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</si>
  <si>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</si>
  <si>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 xml:space="preserve">Checklist for Road and Railway Crossing </t>
  </si>
  <si>
    <t>Railway Boring</t>
  </si>
  <si>
    <t>Base on local department standard, the boring depth is 1.5~2m from surface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</si>
  <si>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</si>
  <si>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Laying HDPE 40/34mm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</si>
  <si>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</si>
  <si>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Pit backfilled and Reinstatement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</si>
  <si>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</si>
  <si>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Road Boring</t>
  </si>
  <si>
    <t>The boring depth is 1.5~2m from surface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</si>
  <si>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</si>
  <si>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Lay HDPE 40/34mm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</si>
  <si>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</si>
  <si>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</si>
  <si>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Check List for Bridges Crossing</t>
  </si>
  <si>
    <t>Inspection Item</t>
  </si>
  <si>
    <t>Criteria</t>
  </si>
  <si>
    <t>Self Support ( SS )</t>
  </si>
  <si>
    <t>Specified size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</si>
  <si>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</si>
  <si>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 xml:space="preserve">Firmly 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</si>
  <si>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</si>
  <si>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Fixed / connected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</si>
  <si>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</si>
  <si>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Attachment (ATB)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</si>
  <si>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</si>
  <si>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</si>
  <si>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</si>
  <si>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Single Pole Suspension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</si>
  <si>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</si>
  <si>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</si>
  <si>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</si>
  <si>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Double Pole Suspension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</si>
  <si>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</si>
  <si>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</si>
  <si>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</si>
  <si>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Structure</t>
  </si>
  <si>
    <t>Conform to drawing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</si>
  <si>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</si>
  <si>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Concrete encasement</t>
  </si>
  <si>
    <t>No cracks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</si>
  <si>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</si>
  <si>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Fixing Hardware</t>
  </si>
  <si>
    <t>Sufficient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</si>
  <si>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</si>
  <si>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Cable Tag</t>
  </si>
  <si>
    <t>Installed as spec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</si>
  <si>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</si>
  <si>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Levelling of foundation</t>
  </si>
  <si>
    <t>Level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</si>
  <si>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</si>
  <si>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Performed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</si>
  <si>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</si>
  <si>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 xml:space="preserve">Responsible Subcontractor                                      </t>
  </si>
  <si>
    <t xml:space="preserve">Responsible Vendor  </t>
  </si>
  <si>
    <t>Check List for Precast Handhole/Precast Handhole Pit
(Visual Checking)</t>
  </si>
  <si>
    <t>HH Number :</t>
  </si>
  <si>
    <t>HH GPS :</t>
  </si>
  <si>
    <t>Size Measurement</t>
  </si>
  <si>
    <t>Inner :</t>
  </si>
  <si>
    <t>Outer:</t>
  </si>
  <si>
    <t>L</t>
  </si>
  <si>
    <t>W</t>
  </si>
  <si>
    <t>D</t>
  </si>
  <si>
    <t>Note : All measurement in cm</t>
  </si>
  <si>
    <t xml:space="preserve">Placement </t>
  </si>
  <si>
    <t>Base and Design and actual condition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</si>
  <si>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</si>
  <si>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Dimensions</t>
  </si>
  <si>
    <t>According Spec.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</si>
  <si>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</si>
  <si>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HH Foundation</t>
  </si>
  <si>
    <t>Smooth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</si>
  <si>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</si>
  <si>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Frame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</si>
  <si>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</si>
  <si>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No Crack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</si>
  <si>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</si>
  <si>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HH Wall/Roof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</si>
  <si>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</si>
  <si>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Frame Bar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</si>
  <si>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</si>
  <si>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</si>
  <si>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Reinstatement (Surface Type)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</si>
  <si>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</si>
  <si>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Name Plate</t>
  </si>
  <si>
    <t>Provided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</si>
  <si>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</si>
  <si>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HH Cover (HH -2 covers,HH Pit 1 cover)</t>
  </si>
  <si>
    <t>Levelling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</si>
  <si>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</si>
  <si>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</si>
  <si>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Handle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</si>
  <si>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</si>
  <si>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Identity (MyRepublic)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</si>
  <si>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</si>
  <si>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HH &amp; Handhole Pit Accessories</t>
  </si>
  <si>
    <t>Cable Bracket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</si>
  <si>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</si>
  <si>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Label HH &amp; Cable</t>
  </si>
  <si>
    <t>Cable Bracket,label Handhole ID, Drainase hole etc.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</si>
  <si>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</si>
  <si>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Check List for Handhole/Handhole Pit
(Visual Checking)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</si>
  <si>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</si>
  <si>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</si>
  <si>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</si>
  <si>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</si>
  <si>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</si>
  <si>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</si>
  <si>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</si>
  <si>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</si>
  <si>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</si>
  <si>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</si>
  <si>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</si>
  <si>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</si>
  <si>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</si>
  <si>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</si>
  <si>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</si>
  <si>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</si>
  <si>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 xml:space="preserve">Checklist for Boring Rojok Manual (BRM) </t>
  </si>
  <si>
    <t>Boring Rojok Manual</t>
  </si>
  <si>
    <t>The boring depth is 1.5 m from surface in feeder part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</si>
  <si>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</si>
  <si>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</si>
  <si>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 xml:space="preserve">Lay HDPE 40/34mm 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</si>
  <si>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</si>
  <si>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Backfilled pit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</si>
  <si>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</si>
  <si>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 xml:space="preserve">Surface Reinstatement 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</si>
  <si>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</si>
  <si>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Site Cleaness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</si>
  <si>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</si>
  <si>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Boring Rojok manaual is similar meaning with Manual Boring</t>
  </si>
  <si>
    <t>Check List for Building Cable Access</t>
  </si>
  <si>
    <t>Sealing at Entry Pipe</t>
  </si>
  <si>
    <t>Conform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</si>
  <si>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</si>
  <si>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Cable Installation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</si>
  <si>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</si>
  <si>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Wall Fixing at Entry Pipe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</si>
  <si>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</si>
  <si>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Cable Labelling</t>
  </si>
  <si>
    <t>Provided &amp; Correct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</si>
  <si>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</si>
  <si>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Spare Cable Installation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</si>
  <si>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</si>
  <si>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Check List for Pole Erection with Accessories
(Visual Checking)</t>
  </si>
  <si>
    <t>Cluster/Route :</t>
  </si>
  <si>
    <t>Pole to Pole Span</t>
  </si>
  <si>
    <t>Height of Pole installed</t>
  </si>
  <si>
    <t>Pole Depth Solution</t>
  </si>
  <si>
    <t>Pole Labelling</t>
  </si>
  <si>
    <t>Pole Accessories</t>
  </si>
  <si>
    <t>Installation Area Clean</t>
  </si>
  <si>
    <t>ATP Result</t>
  </si>
  <si>
    <t>DESCRIPTION  =&gt;</t>
  </si>
  <si>
    <t xml:space="preserve">Pole height (7Mtr/9Mtr) and hole depth comply with standard(1.4m/1.8m),  differentiation veticality pole note more than 2 Degree </t>
  </si>
  <si>
    <t>If hole depth can't reach to the standard requirement</t>
  </si>
  <si>
    <t>Pole have label pole ID &amp; MQM name labeling</t>
  </si>
  <si>
    <t>Pole Accessories like - Hanger, Clamps &amp; Etc should follow the Specs.</t>
  </si>
  <si>
    <t>Pole Foundation and near by area should be neat and clean</t>
  </si>
  <si>
    <t>Pole Wise ATP Output result</t>
  </si>
  <si>
    <t>Move to another proposed location</t>
  </si>
  <si>
    <t>Cut pole to keep same clearance with other pole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</si>
  <si>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Need Repair</t>
    </r>
  </si>
  <si>
    <t xml:space="preserve">Responsible Vendor                                                                                                                                                                   </t>
  </si>
  <si>
    <t xml:space="preserve">ID:     </t>
  </si>
  <si>
    <t>Checklist for Cable Installation in HH,HH Pit and OTB
(Visual Inspection)</t>
  </si>
  <si>
    <t>Handhole</t>
  </si>
  <si>
    <t>Cable Arrangement and coil in 10m slack on bracket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</si>
  <si>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</si>
  <si>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Joint closure and excess cable on the bracket properly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</si>
  <si>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</si>
  <si>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Cleaness of handhole after cable pulled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</si>
  <si>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</si>
  <si>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HH Pit</t>
  </si>
  <si>
    <t xml:space="preserve">Cable Arrangement and coil in 10m side slack 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</si>
  <si>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</si>
  <si>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Cable Place on the bracket properly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</si>
  <si>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</si>
  <si>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</si>
  <si>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OTB</t>
  </si>
  <si>
    <t>Cable enter to the OTB properly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</si>
  <si>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</si>
  <si>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Cable protected by corrugated HDPE (exposed)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</si>
  <si>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</si>
  <si>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Cable arrangement enter to the cabinet properly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</si>
  <si>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</si>
  <si>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Label OTB and Port (PTB harus di label dan keterangan susunan port)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</si>
  <si>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</si>
  <si>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Aerial Cable</t>
  </si>
  <si>
    <t>The cable ground clearance conform to required height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</si>
  <si>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</si>
  <si>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The slack cable is coiled in the coiling holder at &gt;20 times the cable diameter (15-20 meter)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</si>
  <si>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</si>
  <si>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The cable is properly tensioned /clamped / wrapped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</si>
  <si>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</si>
  <si>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Cable is properly secured at the pole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</si>
  <si>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</si>
  <si>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Bending radius 20 times of cable diameter at turning point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</si>
  <si>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</si>
  <si>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Cable damage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</si>
  <si>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</si>
  <si>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Cable labelling</t>
  </si>
  <si>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passed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 xml:space="preserve">fail  </t>
    </r>
    <r>
      <rPr>
        <sz val="10"/>
        <color theme="1"/>
        <rFont val="宋体"/>
      </rPr>
      <t>□</t>
    </r>
    <r>
      <rPr>
        <sz val="10"/>
        <color theme="1"/>
        <rFont val="Arial"/>
        <family val="2"/>
      </rPr>
      <t>N/A</t>
    </r>
  </si>
  <si>
    <t>RECORD OF PUNCH LIST
CW ATP</t>
  </si>
  <si>
    <t xml:space="preserve">Project Name     </t>
  </si>
  <si>
    <t>:</t>
  </si>
  <si>
    <t xml:space="preserve">Cluster Name     </t>
  </si>
  <si>
    <t xml:space="preserve">Cluster ID          </t>
  </si>
  <si>
    <t xml:space="preserve">ATP Date           </t>
  </si>
  <si>
    <t xml:space="preserve">No </t>
  </si>
  <si>
    <t>Defect Item</t>
  </si>
  <si>
    <t>Target Date</t>
  </si>
  <si>
    <t>Repaired Date</t>
  </si>
  <si>
    <t>Sign
(customer)</t>
  </si>
  <si>
    <t>Responsible Vendor</t>
  </si>
  <si>
    <t>BERITA ACARA RECTIFIKASI PUNCH LIST</t>
  </si>
  <si>
    <t>Pada hari ini,                    tanggal            , bulan                   , tahun                  , kami yang bertanda tangan di bawah ini:</t>
  </si>
  <si>
    <t>Nama</t>
  </si>
  <si>
    <t>Perusahaan</t>
  </si>
  <si>
    <t>Telah melaksanakan pengecekan ulang untuk hasil rektifikasi punch list Civil Work seperti dibawah ini dengan hasil</t>
  </si>
  <si>
    <t xml:space="preserve">BAIK dan DITERIMA. </t>
  </si>
  <si>
    <t>Cluster Name</t>
  </si>
  <si>
    <t xml:space="preserve">ATP Date  </t>
  </si>
  <si>
    <t>FDT</t>
  </si>
  <si>
    <t>No</t>
  </si>
  <si>
    <t>Defect Description</t>
  </si>
  <si>
    <t>Punch Point Type</t>
  </si>
  <si>
    <t>Result</t>
  </si>
  <si>
    <t>Date of Clearence</t>
  </si>
  <si>
    <t>Customer</t>
  </si>
  <si>
    <t>Vendor</t>
  </si>
  <si>
    <t>OPM Test Report</t>
  </si>
  <si>
    <r>
      <rPr>
        <b/>
        <sz val="10"/>
        <color theme="1"/>
        <rFont val="Arial"/>
        <family val="2"/>
      </rPr>
      <t xml:space="preserve">Responsible Vendor  </t>
    </r>
    <r>
      <rPr>
        <sz val="10"/>
        <color theme="1"/>
        <rFont val="Arial"/>
        <family val="2"/>
      </rPr>
      <t xml:space="preserve">                                                                   </t>
    </r>
  </si>
  <si>
    <t xml:space="preserve"> End to End Power Meter Measurement Test</t>
  </si>
  <si>
    <t>Region:</t>
  </si>
  <si>
    <t xml:space="preserve"> Light Source mode :</t>
  </si>
  <si>
    <r>
      <rPr>
        <b/>
        <sz val="11"/>
        <color theme="1"/>
        <rFont val="Arial"/>
        <family val="2"/>
      </rPr>
      <t xml:space="preserve">OLT    </t>
    </r>
    <r>
      <rPr>
        <b/>
        <sz val="16"/>
        <color theme="1"/>
        <rFont val="Arial"/>
        <family val="2"/>
      </rPr>
      <t>□</t>
    </r>
    <r>
      <rPr>
        <b/>
        <sz val="11"/>
        <color theme="1"/>
        <rFont val="Arial"/>
        <family val="2"/>
      </rPr>
      <t xml:space="preserve">Laser Source  </t>
    </r>
    <r>
      <rPr>
        <b/>
        <sz val="16"/>
        <color theme="1"/>
        <rFont val="Arial"/>
        <family val="2"/>
      </rPr>
      <t xml:space="preserve"> □</t>
    </r>
  </si>
  <si>
    <t>OLT Name:</t>
  </si>
  <si>
    <t>ODF Number :</t>
  </si>
  <si>
    <t>FDT Number :</t>
  </si>
  <si>
    <t>Address:</t>
  </si>
  <si>
    <t>OPM Calibration Deviation :</t>
  </si>
  <si>
    <t>Power Meter model/SN :</t>
  </si>
  <si>
    <t>Feeder Core</t>
  </si>
  <si>
    <t>Wave Length       (1490nm)</t>
  </si>
  <si>
    <t>Spliter SN</t>
  </si>
  <si>
    <t>Test (dBm)</t>
  </si>
  <si>
    <t>Port</t>
  </si>
  <si>
    <t>Before Splitter</t>
  </si>
  <si>
    <t>After Splitter</t>
  </si>
  <si>
    <t>Responsible Vendor                                                                                                                                                                                                                                                                                                               Responsible Customer</t>
  </si>
  <si>
    <t>Light Source mode :</t>
  </si>
  <si>
    <r>
      <rPr>
        <b/>
        <sz val="24"/>
        <color theme="1"/>
        <rFont val="Arial"/>
        <family val="2"/>
      </rPr>
      <t xml:space="preserve">OLT    </t>
    </r>
    <r>
      <rPr>
        <b/>
        <sz val="24"/>
        <color rgb="FF000000"/>
        <rFont val="Arial"/>
        <family val="2"/>
      </rPr>
      <t>□</t>
    </r>
    <r>
      <rPr>
        <b/>
        <sz val="24"/>
        <color theme="1"/>
        <rFont val="Arial"/>
        <family val="2"/>
      </rPr>
      <t xml:space="preserve">           Laser Source   □</t>
    </r>
  </si>
  <si>
    <t>OLT Name :</t>
  </si>
  <si>
    <t xml:space="preserve">                   Power Meter model/SN :</t>
  </si>
  <si>
    <t>FAT Number</t>
  </si>
  <si>
    <t>Fiber Nymber</t>
  </si>
  <si>
    <t>Wave Length (nm )</t>
  </si>
  <si>
    <t>Fiber Number</t>
  </si>
  <si>
    <t>Note :- Use Another Checklist if FAT count is more than 24</t>
  </si>
  <si>
    <t>RECORD OF PUNCH LIST
OPM ATP</t>
  </si>
  <si>
    <t>Project Name</t>
  </si>
  <si>
    <t>ATP Date</t>
  </si>
  <si>
    <t>BERITA ACARA SERAH TERIMA KUNCI</t>
  </si>
  <si>
    <t xml:space="preserve">Pada hari ini, </t>
  </si>
  <si>
    <t>tanggal</t>
  </si>
  <si>
    <t>, kami yang bertandatangan di bawah ini :</t>
  </si>
  <si>
    <t xml:space="preserve">Telah menyerahkan kunci FDT &amp; FAT dari </t>
  </si>
  <si>
    <t>,         kepada</t>
  </si>
  <si>
    <t>dengan rincian yang tertera pada tabel dibawah ini,</t>
  </si>
  <si>
    <t>OLT</t>
  </si>
  <si>
    <t>Cluster</t>
  </si>
  <si>
    <t>FAT</t>
  </si>
  <si>
    <t>Key</t>
  </si>
  <si>
    <t>Remaining</t>
  </si>
  <si>
    <t>Remark</t>
  </si>
  <si>
    <t>Name</t>
  </si>
  <si>
    <t>ID</t>
  </si>
  <si>
    <t>Qty</t>
  </si>
  <si>
    <t>Given by:</t>
  </si>
  <si>
    <t>Received by:</t>
  </si>
  <si>
    <t>BERITA ACARA SERAH TERIMA SPLITTER</t>
  </si>
  <si>
    <t>Pada hari___________, Tanggal______________, telah dilaksanakan serah terima Splitter untuk pekerjaan seperti di bawah ini:</t>
  </si>
  <si>
    <t>RFS Date</t>
  </si>
  <si>
    <t>FDT No.</t>
  </si>
  <si>
    <t>Quantity</t>
  </si>
  <si>
    <t>Type</t>
  </si>
  <si>
    <t>Serial Number</t>
  </si>
  <si>
    <t>Splitter 1</t>
  </si>
  <si>
    <t>Splitter 2</t>
  </si>
  <si>
    <t>Splitter 3</t>
  </si>
  <si>
    <t>Splitter 4</t>
  </si>
  <si>
    <t>Splitter 5</t>
  </si>
  <si>
    <t>HP RFS :</t>
  </si>
  <si>
    <t>Given by,</t>
  </si>
  <si>
    <t>Received by,</t>
  </si>
  <si>
    <t>ID      :</t>
  </si>
  <si>
    <t>Date       :</t>
  </si>
  <si>
    <t>BERITA ACARA LAPANGAN</t>
  </si>
  <si>
    <t>Proyek</t>
  </si>
  <si>
    <t>No PO</t>
  </si>
  <si>
    <t>Nama Cluster</t>
  </si>
  <si>
    <t>Pelaksana (Subcontractor)</t>
  </si>
  <si>
    <t>Pada hari ini________________, tanggal /bulan/tahun ____________________________, kami yang bertandatangan di bawah ini:</t>
  </si>
  <si>
    <r>
      <rPr>
        <sz val="11"/>
        <color theme="1"/>
        <rFont val="Calibri"/>
        <family val="2"/>
      </rPr>
      <t xml:space="preserve">Pihak </t>
    </r>
    <r>
      <rPr>
        <b/>
        <sz val="11"/>
        <color theme="1"/>
        <rFont val="Calibri"/>
        <family val="2"/>
      </rPr>
      <t>Vendor</t>
    </r>
    <r>
      <rPr>
        <sz val="11"/>
        <color theme="1"/>
        <rFont val="Calibri"/>
        <family val="2"/>
      </rPr>
      <t xml:space="preserve">, </t>
    </r>
  </si>
  <si>
    <r>
      <rPr>
        <sz val="10"/>
        <color theme="1"/>
        <rFont val="Arial"/>
        <family val="2"/>
      </rPr>
      <t xml:space="preserve">Pihak </t>
    </r>
    <r>
      <rPr>
        <b/>
        <sz val="10"/>
        <color theme="1"/>
        <rFont val="Arial"/>
        <family val="2"/>
      </rPr>
      <t>Customer</t>
    </r>
    <r>
      <rPr>
        <sz val="10"/>
        <color theme="1"/>
        <rFont val="Arial"/>
        <family val="2"/>
      </rPr>
      <t>,</t>
    </r>
  </si>
  <si>
    <t xml:space="preserve">Nama </t>
  </si>
  <si>
    <t>Jabatan</t>
  </si>
  <si>
    <t>Menyatakan bahwa:</t>
  </si>
  <si>
    <t>Pengurus Cluster yang dapat dihubungi:</t>
  </si>
  <si>
    <t>-</t>
  </si>
  <si>
    <t>Alamat</t>
  </si>
  <si>
    <t>No. Telp</t>
  </si>
  <si>
    <t>, tanggal/bulan/tahun</t>
  </si>
  <si>
    <t>Dibuat oleh,</t>
  </si>
  <si>
    <t>Disetujui oleh,</t>
  </si>
  <si>
    <t>Diketahui oleh,</t>
  </si>
  <si>
    <t>PT. Buana Menara Indonesia</t>
  </si>
  <si>
    <t>Landlord / RT/RW</t>
  </si>
  <si>
    <t>(...................................)</t>
  </si>
  <si>
    <t>Splice Loss Measurement
(Result from OTDR)
FDT to FAT</t>
  </si>
  <si>
    <t xml:space="preserve">Project Name </t>
  </si>
  <si>
    <t>Date Test   :</t>
  </si>
  <si>
    <t xml:space="preserve">Region </t>
  </si>
  <si>
    <t>OLT            :</t>
  </si>
  <si>
    <t xml:space="preserve">Cluster Name </t>
  </si>
  <si>
    <t>Line No      :</t>
  </si>
  <si>
    <t>Tube</t>
  </si>
  <si>
    <t>Core</t>
  </si>
  <si>
    <t>FAT NO.</t>
  </si>
  <si>
    <t>Distance (Km)</t>
  </si>
  <si>
    <t>(FDT - FAT) Loss (dB)</t>
  </si>
  <si>
    <t>Color</t>
  </si>
  <si>
    <t>1310 nm</t>
  </si>
  <si>
    <t>1550 nm</t>
  </si>
  <si>
    <t>BLUE</t>
  </si>
  <si>
    <t>Blue</t>
  </si>
  <si>
    <t>SLATE</t>
  </si>
  <si>
    <t>Orange</t>
  </si>
  <si>
    <t>Green</t>
  </si>
  <si>
    <t>Brown</t>
  </si>
  <si>
    <t>Slate</t>
  </si>
  <si>
    <t>White</t>
  </si>
  <si>
    <t>Red</t>
  </si>
  <si>
    <t>Black</t>
  </si>
  <si>
    <t>Yellow</t>
  </si>
  <si>
    <t>Purple</t>
  </si>
  <si>
    <t>Pink</t>
  </si>
  <si>
    <t>Aqua</t>
  </si>
  <si>
    <t>ORANGE</t>
  </si>
  <si>
    <t>WHITE</t>
  </si>
  <si>
    <t>GREEN</t>
  </si>
  <si>
    <t>RED</t>
  </si>
  <si>
    <t>BROWN</t>
  </si>
  <si>
    <t>BLACK</t>
  </si>
  <si>
    <t xml:space="preserve">Responsible Vendor                                                                                                                                                       </t>
  </si>
  <si>
    <t>Good</t>
  </si>
  <si>
    <t>MODULAR</t>
  </si>
  <si>
    <t>MICRO</t>
  </si>
  <si>
    <t>NO SN</t>
  </si>
  <si>
    <t>Site / Project Name</t>
  </si>
  <si>
    <t>[NAMA_PROYEK]</t>
  </si>
  <si>
    <t>[REGION]</t>
  </si>
  <si>
    <t>Cluster / Subfeeder Name</t>
  </si>
  <si>
    <t>[NAMA_LOKASI]</t>
  </si>
  <si>
    <t>Cluster / Subfeeder ID</t>
  </si>
  <si>
    <t>[ID_LOKASI]</t>
  </si>
  <si>
    <t>[ALAMAT]</t>
  </si>
  <si>
    <t>[NAMA_OLT]</t>
  </si>
  <si>
    <t>FDT ID (Link From)</t>
  </si>
  <si>
    <t>[ID_FDT_FROM]</t>
  </si>
  <si>
    <t>FAT ID (Link To)</t>
  </si>
  <si>
    <t>[ID_FAT_TO]</t>
  </si>
  <si>
    <t>Vendor Company</t>
  </si>
  <si>
    <t>[NAMA_PT_VENDOR]</t>
  </si>
  <si>
    <t>Vendor Rep. Name</t>
  </si>
  <si>
    <t>[REP_VENDOR]</t>
  </si>
  <si>
    <t>Vendor Rep. Title</t>
  </si>
  <si>
    <t>[JABATAN_VENDOR]</t>
  </si>
  <si>
    <t>Customer Company</t>
  </si>
  <si>
    <t>[NAMA_PT_CUSTOMER]</t>
  </si>
  <si>
    <t>Customer Rep. Name</t>
  </si>
  <si>
    <t>[REP_CUSTOMER]</t>
  </si>
  <si>
    <t>Customer Rep. Title</t>
  </si>
  <si>
    <t>[JABATAN_CUSTOMER]</t>
  </si>
  <si>
    <t>PO Number</t>
  </si>
  <si>
    <t>[NO_PO]</t>
  </si>
  <si>
    <t>[INPUT_FAT_NAME]</t>
  </si>
  <si>
    <t>[INPUT_POLE_DESC]</t>
  </si>
  <si>
    <t>[INPUT_POLE_SIZE]</t>
  </si>
  <si>
    <t>[OPM_BEFORE]</t>
  </si>
  <si>
    <t>[OPM_AFTER]</t>
  </si>
  <si>
    <t>[INPUT_OPM]</t>
  </si>
  <si>
    <t>[DISTANCE]</t>
  </si>
  <si>
    <t>[1310]</t>
  </si>
  <si>
    <t>[1550]</t>
  </si>
  <si>
    <t>Test Date</t>
  </si>
  <si>
    <t>[TANGGAL_TEST]</t>
  </si>
  <si>
    <t>Splitter 6</t>
  </si>
  <si>
    <t>Splitter 7</t>
  </si>
  <si>
    <t>Splitter 8</t>
  </si>
  <si>
    <t>Splitter 9</t>
  </si>
  <si>
    <t>Splitter 10</t>
  </si>
  <si>
    <t>[SPL_ID]</t>
  </si>
  <si>
    <t>[SPL_SN]</t>
  </si>
  <si>
    <t xml:space="preserve"> </t>
  </si>
  <si>
    <t>LINK           :</t>
  </si>
  <si>
    <t>From (A)</t>
  </si>
  <si>
    <t>CABLE</t>
  </si>
  <si>
    <t>JOINT SPLICE</t>
  </si>
  <si>
    <t>IOR :</t>
  </si>
  <si>
    <t>1310nm : 0.3373</t>
  </si>
  <si>
    <t xml:space="preserve">JOINT NO : </t>
  </si>
  <si>
    <t>JOINT NO :</t>
  </si>
  <si>
    <t>1550nm : 0.3374</t>
  </si>
  <si>
    <t>Splice Threshold : 0.01db</t>
  </si>
  <si>
    <t>SPAN</t>
  </si>
  <si>
    <t xml:space="preserve">TO OTDR </t>
  </si>
  <si>
    <t>TO OTDR</t>
  </si>
  <si>
    <t>(A - B)</t>
  </si>
  <si>
    <t>(B - A)</t>
  </si>
  <si>
    <t>TUBE</t>
  </si>
  <si>
    <t>CORE</t>
  </si>
  <si>
    <t>SPLICE LOSS</t>
  </si>
  <si>
    <t>NO</t>
  </si>
  <si>
    <t>COLOR</t>
  </si>
  <si>
    <t>Direction</t>
  </si>
  <si>
    <t>OTDR (dB)</t>
  </si>
  <si>
    <t>A - B</t>
  </si>
  <si>
    <t>[DISTANCE_SF]</t>
  </si>
  <si>
    <t>[OTDR_SF]</t>
  </si>
  <si>
    <t>B - A</t>
  </si>
  <si>
    <t xml:space="preserve">Responsible Vendor                                                                                                                                                                </t>
  </si>
  <si>
    <t>Splice Loss Measurement
(Result from OTDR)
OLT TO FDT
Wavelength [WAVE_LENGHT]</t>
  </si>
  <si>
    <t>Telah melaksanakan pengecekan ulang untuk hasil rektifikasi punch list OPM seperti dibawah ini dengan hasil</t>
  </si>
  <si>
    <t>The boring depth is 0.3 m from surface in [TIPE]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</si>
</sst>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5" formatCode="0.000"/>
  </numFmts>
  <fonts count="11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SimSun"/>
    </font>
    <font>
      <b/>
      <sz val="11"/>
      <color theme="1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i/>
      <sz val="10"/>
      <color rgb="FF000000"/>
      <name val="Arial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Bookman Old Style"/>
      <family val="1"/>
    </font>
    <font>
      <sz val="11"/>
      <color rgb="FFFF0000"/>
      <name val="Bookman Old Style"/>
      <family val="1"/>
    </font>
    <font>
      <b/>
      <sz val="11"/>
      <color theme="1"/>
      <name val="Bookman Old Style"/>
      <family val="1"/>
    </font>
    <font>
      <sz val="10"/>
      <color rgb="FFFF0000"/>
      <name val="Bookman Old Style"/>
      <family val="1"/>
    </font>
    <font>
      <b/>
      <sz val="48"/>
      <color theme="1"/>
      <name val="Arial"/>
      <family val="2"/>
    </font>
    <font>
      <b/>
      <sz val="26"/>
      <color theme="1"/>
      <name val="Arial"/>
      <family val="2"/>
    </font>
    <font>
      <b/>
      <sz val="36"/>
      <color theme="1"/>
      <name val="Arial"/>
      <family val="2"/>
    </font>
    <font>
      <b/>
      <sz val="24"/>
      <color theme="1"/>
      <name val="Arial"/>
      <family val="2"/>
    </font>
    <font>
      <b/>
      <sz val="18"/>
      <color theme="1"/>
      <name val="Bookman Old Style"/>
      <family val="1"/>
    </font>
    <font>
      <b/>
      <sz val="18"/>
      <color rgb="FFFF0000"/>
      <name val="Bookman Old Style"/>
      <family val="1"/>
    </font>
    <font>
      <b/>
      <sz val="16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4"/>
      <color rgb="FFFF0000"/>
      <name val="Bookman Old Style"/>
      <family val="1"/>
    </font>
    <font>
      <b/>
      <sz val="28"/>
      <color theme="1"/>
      <name val="Arial"/>
      <family val="2"/>
    </font>
    <font>
      <b/>
      <sz val="28"/>
      <color theme="1"/>
      <name val="Bookman Old Style"/>
      <family val="1"/>
    </font>
    <font>
      <b/>
      <sz val="24"/>
      <color theme="1"/>
      <name val="Bookman Old Style"/>
      <family val="1"/>
    </font>
    <font>
      <sz val="16"/>
      <color theme="1"/>
      <name val="Arial"/>
      <family val="2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Arial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Tahoma"/>
      <family val="2"/>
    </font>
    <font>
      <b/>
      <sz val="16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6"/>
      <color theme="1"/>
      <name val="Aharoni"/>
      <charset val="177"/>
    </font>
    <font>
      <sz val="10"/>
      <color theme="1"/>
      <name val="宋体"/>
    </font>
    <font>
      <b/>
      <sz val="24"/>
      <color rgb="FF00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7"/>
      <color theme="1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1"/>
      <color rgb="FF000000"/>
      <name val="Arial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3"/>
      <name val="Arial"/>
      <family val="2"/>
    </font>
    <font>
      <sz val="12"/>
      <color rgb="FF000000"/>
      <name val="Arial"/>
      <family val="2"/>
      <scheme val="minor"/>
    </font>
    <font>
      <b/>
      <sz val="25"/>
      <color theme="1"/>
      <name val="Arial"/>
      <family val="2"/>
    </font>
    <font>
      <sz val="8"/>
      <name val="Arial"/>
      <family val="2"/>
      <scheme val="minor"/>
    </font>
    <font>
      <b/>
      <sz val="26"/>
      <color theme="1"/>
      <name val="Arial"/>
      <family val="2"/>
      <scheme val="major"/>
    </font>
    <font>
      <sz val="26"/>
      <color rgb="FF000000"/>
      <name val="Arial"/>
      <family val="2"/>
      <scheme val="major"/>
    </font>
    <font>
      <sz val="26"/>
      <name val="Arial"/>
      <family val="2"/>
      <scheme val="major"/>
    </font>
    <font>
      <b/>
      <sz val="10"/>
      <color indexed="8"/>
      <name val="Arial"/>
      <family val="2"/>
    </font>
    <font>
      <b/>
      <sz val="12"/>
      <color theme="1"/>
      <name val="Arial"/>
      <family val="2"/>
      <scheme val="major"/>
    </font>
    <font>
      <sz val="13"/>
      <name val="Bookman Old Style"/>
      <family val="1"/>
    </font>
    <font>
      <b/>
      <sz val="27"/>
      <color theme="1"/>
      <name val="Arial"/>
      <family val="2"/>
    </font>
    <font>
      <sz val="13"/>
      <color theme="1"/>
      <name val="Arial"/>
      <family val="2"/>
    </font>
    <font>
      <sz val="20"/>
      <color theme="1"/>
      <name val="Arial"/>
      <family val="2"/>
    </font>
    <font>
      <sz val="20"/>
      <color rgb="FF000000"/>
      <name val="Arial"/>
      <family val="2"/>
      <scheme val="minor"/>
    </font>
    <font>
      <b/>
      <sz val="26"/>
      <name val="Arial"/>
      <family val="2"/>
      <scheme val="major"/>
    </font>
    <font>
      <b/>
      <sz val="28"/>
      <name val="Arial"/>
      <family val="2"/>
      <scheme val="major"/>
    </font>
    <font>
      <b/>
      <sz val="22"/>
      <color theme="1"/>
      <name val="Arial"/>
      <family val="2"/>
      <scheme val="major"/>
    </font>
    <font>
      <sz val="22"/>
      <color rgb="FF000000"/>
      <name val="Arial"/>
      <family val="2"/>
      <scheme val="major"/>
    </font>
    <font>
      <sz val="22"/>
      <name val="Arial"/>
      <family val="2"/>
      <scheme val="major"/>
    </font>
    <font>
      <b/>
      <sz val="29"/>
      <name val="Arial"/>
      <family val="2"/>
      <scheme val="major"/>
    </font>
    <font>
      <sz val="13"/>
      <name val="Tahoma"/>
      <family val="2"/>
    </font>
    <font>
      <sz val="13"/>
      <color theme="1"/>
      <name val="Tahoma"/>
      <family val="2"/>
    </font>
    <font>
      <sz val="12"/>
      <name val="Tahoma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</font>
    <font>
      <b/>
      <sz val="26"/>
      <color rgb="FFFF0000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22"/>
      <name val="Arial"/>
      <family val="2"/>
      <scheme val="major"/>
    </font>
    <font>
      <sz val="14"/>
      <color theme="1"/>
      <name val="Tahoma"/>
      <family val="2"/>
    </font>
    <font>
      <sz val="16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20"/>
      <color theme="1"/>
      <name val="Tahoma"/>
      <family val="2"/>
    </font>
    <font>
      <sz val="8"/>
      <color theme="1"/>
      <name val="Tahoma"/>
      <family val="2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rgb="FFC0C0C0"/>
      </patternFill>
    </fill>
  </fills>
  <borders count="9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02" fillId="0" borderId="0"/>
  </cellStyleXfs>
  <cellXfs count="743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2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horizontal="left" vertical="top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7" fillId="0" borderId="0" xfId="0" applyFont="1"/>
    <xf numFmtId="0" fontId="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19" fillId="0" borderId="0" xfId="0" applyFont="1" applyAlignment="1">
      <alignment vertical="top"/>
    </xf>
    <xf numFmtId="0" fontId="11" fillId="0" borderId="0" xfId="0" applyFont="1" applyAlignment="1">
      <alignment horizontal="center" vertical="center" wrapText="1"/>
    </xf>
    <xf numFmtId="0" fontId="18" fillId="0" borderId="0" xfId="0" applyFont="1"/>
    <xf numFmtId="0" fontId="18" fillId="0" borderId="43" xfId="0" applyFont="1" applyBorder="1"/>
    <xf numFmtId="0" fontId="17" fillId="0" borderId="44" xfId="0" applyFont="1" applyBorder="1"/>
    <xf numFmtId="0" fontId="6" fillId="0" borderId="44" xfId="0" applyFont="1" applyBorder="1"/>
    <xf numFmtId="0" fontId="2" fillId="0" borderId="44" xfId="0" applyFont="1" applyBorder="1"/>
    <xf numFmtId="0" fontId="17" fillId="0" borderId="45" xfId="0" applyFont="1" applyBorder="1"/>
    <xf numFmtId="0" fontId="18" fillId="0" borderId="37" xfId="0" applyFont="1" applyBorder="1"/>
    <xf numFmtId="0" fontId="2" fillId="0" borderId="46" xfId="0" applyFont="1" applyBorder="1"/>
    <xf numFmtId="0" fontId="17" fillId="0" borderId="43" xfId="0" applyFont="1" applyBorder="1"/>
    <xf numFmtId="0" fontId="6" fillId="0" borderId="45" xfId="0" applyFont="1" applyBorder="1"/>
    <xf numFmtId="0" fontId="17" fillId="0" borderId="46" xfId="0" applyFont="1" applyBorder="1"/>
    <xf numFmtId="0" fontId="17" fillId="0" borderId="2" xfId="0" applyFont="1" applyBorder="1"/>
    <xf numFmtId="0" fontId="17" fillId="0" borderId="50" xfId="0" applyFont="1" applyBorder="1"/>
    <xf numFmtId="0" fontId="17" fillId="0" borderId="37" xfId="0" applyFont="1" applyBorder="1" applyAlignment="1">
      <alignment horizontal="center"/>
    </xf>
    <xf numFmtId="0" fontId="18" fillId="0" borderId="46" xfId="0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17" fillId="0" borderId="51" xfId="0" applyFont="1" applyBorder="1"/>
    <xf numFmtId="0" fontId="17" fillId="0" borderId="37" xfId="0" applyFont="1" applyBorder="1"/>
    <xf numFmtId="0" fontId="6" fillId="0" borderId="46" xfId="0" applyFont="1" applyBorder="1"/>
    <xf numFmtId="0" fontId="17" fillId="0" borderId="3" xfId="0" applyFont="1" applyBorder="1"/>
    <xf numFmtId="0" fontId="17" fillId="0" borderId="47" xfId="0" applyFont="1" applyBorder="1"/>
    <xf numFmtId="0" fontId="6" fillId="0" borderId="49" xfId="0" applyFont="1" applyBorder="1"/>
    <xf numFmtId="0" fontId="17" fillId="0" borderId="48" xfId="0" applyFont="1" applyBorder="1"/>
    <xf numFmtId="0" fontId="6" fillId="0" borderId="48" xfId="0" applyFont="1" applyBorder="1"/>
    <xf numFmtId="0" fontId="2" fillId="0" borderId="48" xfId="0" applyFont="1" applyBorder="1"/>
    <xf numFmtId="0" fontId="17" fillId="0" borderId="49" xfId="0" applyFont="1" applyBorder="1"/>
    <xf numFmtId="0" fontId="15" fillId="0" borderId="5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1" fillId="0" borderId="3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  <xf numFmtId="0" fontId="6" fillId="0" borderId="46" xfId="0" applyFont="1" applyBorder="1" applyAlignment="1">
      <alignment horizontal="center" vertical="center"/>
    </xf>
    <xf numFmtId="0" fontId="18" fillId="0" borderId="46" xfId="0" applyFont="1" applyBorder="1"/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2" fillId="0" borderId="6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wrapText="1"/>
    </xf>
    <xf numFmtId="0" fontId="2" fillId="0" borderId="64" xfId="0" applyFont="1" applyBorder="1"/>
    <xf numFmtId="0" fontId="2" fillId="0" borderId="13" xfId="0" applyFont="1" applyBorder="1"/>
    <xf numFmtId="0" fontId="2" fillId="0" borderId="19" xfId="0" applyFont="1" applyBorder="1" applyAlignment="1">
      <alignment wrapText="1"/>
    </xf>
    <xf numFmtId="0" fontId="6" fillId="0" borderId="19" xfId="0" applyFont="1" applyBorder="1" applyAlignment="1">
      <alignment horizontal="right" wrapText="1"/>
    </xf>
    <xf numFmtId="0" fontId="15" fillId="0" borderId="14" xfId="0" applyFont="1" applyBorder="1" applyAlignment="1">
      <alignment horizontal="left" vertical="center"/>
    </xf>
    <xf numFmtId="0" fontId="6" fillId="0" borderId="65" xfId="0" applyFont="1" applyBorder="1" applyAlignment="1">
      <alignment horizontal="center" wrapText="1"/>
    </xf>
    <xf numFmtId="0" fontId="2" fillId="0" borderId="65" xfId="0" applyFont="1" applyBorder="1"/>
    <xf numFmtId="0" fontId="2" fillId="0" borderId="17" xfId="0" applyFont="1" applyBorder="1"/>
    <xf numFmtId="0" fontId="2" fillId="0" borderId="65" xfId="0" applyFont="1" applyBorder="1" applyAlignment="1">
      <alignment wrapText="1"/>
    </xf>
    <xf numFmtId="0" fontId="6" fillId="0" borderId="65" xfId="0" applyFont="1" applyBorder="1" applyAlignment="1">
      <alignment horizontal="right" wrapText="1"/>
    </xf>
    <xf numFmtId="0" fontId="6" fillId="0" borderId="65" xfId="0" applyFont="1" applyBorder="1" applyAlignment="1">
      <alignment horizontal="center"/>
    </xf>
    <xf numFmtId="0" fontId="6" fillId="0" borderId="65" xfId="0" applyFont="1" applyBorder="1" applyAlignment="1">
      <alignment horizontal="right"/>
    </xf>
    <xf numFmtId="0" fontId="6" fillId="0" borderId="63" xfId="0" applyFont="1" applyBorder="1" applyAlignment="1">
      <alignment horizontal="center"/>
    </xf>
    <xf numFmtId="0" fontId="2" fillId="0" borderId="63" xfId="0" applyFont="1" applyBorder="1"/>
    <xf numFmtId="0" fontId="2" fillId="0" borderId="35" xfId="0" applyFont="1" applyBorder="1"/>
    <xf numFmtId="0" fontId="6" fillId="0" borderId="63" xfId="0" applyFont="1" applyBorder="1" applyAlignment="1">
      <alignment horizontal="right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21" fillId="0" borderId="0" xfId="0" applyFont="1"/>
    <xf numFmtId="0" fontId="2" fillId="0" borderId="37" xfId="0" applyFont="1" applyBorder="1"/>
    <xf numFmtId="0" fontId="2" fillId="0" borderId="34" xfId="0" applyFont="1" applyBorder="1" applyAlignment="1">
      <alignment horizontal="center" vertical="top"/>
    </xf>
    <xf numFmtId="0" fontId="2" fillId="0" borderId="34" xfId="0" applyFont="1" applyBorder="1" applyAlignment="1">
      <alignment horizontal="left" vertical="top"/>
    </xf>
    <xf numFmtId="0" fontId="2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top"/>
    </xf>
    <xf numFmtId="0" fontId="2" fillId="0" borderId="49" xfId="0" applyFont="1" applyBorder="1"/>
    <xf numFmtId="0" fontId="23" fillId="0" borderId="0" xfId="0" applyFont="1"/>
    <xf numFmtId="0" fontId="6" fillId="0" borderId="60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25" fillId="3" borderId="65" xfId="0" applyFont="1" applyFill="1" applyBorder="1" applyAlignment="1">
      <alignment horizontal="center" vertical="center"/>
    </xf>
    <xf numFmtId="0" fontId="25" fillId="3" borderId="65" xfId="0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/>
    </xf>
    <xf numFmtId="0" fontId="2" fillId="0" borderId="15" xfId="0" applyFont="1" applyBorder="1"/>
    <xf numFmtId="0" fontId="2" fillId="0" borderId="65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29" fillId="0" borderId="0" xfId="0" applyFont="1"/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1" fillId="0" borderId="0" xfId="0" applyFont="1"/>
    <xf numFmtId="0" fontId="14" fillId="0" borderId="0" xfId="0" applyFont="1"/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6" fillId="0" borderId="0" xfId="0" applyFont="1"/>
    <xf numFmtId="0" fontId="6" fillId="0" borderId="65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0" fontId="2" fillId="0" borderId="2" xfId="0" applyFont="1" applyBorder="1"/>
    <xf numFmtId="0" fontId="19" fillId="0" borderId="0" xfId="0" applyFont="1"/>
    <xf numFmtId="0" fontId="34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28" fillId="0" borderId="2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37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7" fillId="0" borderId="3" xfId="0" applyFont="1" applyBorder="1" applyAlignment="1">
      <alignment horizontal="right" vertical="center"/>
    </xf>
    <xf numFmtId="0" fontId="37" fillId="0" borderId="3" xfId="0" applyFont="1" applyBorder="1" applyAlignment="1">
      <alignment horizontal="center" vertical="center"/>
    </xf>
    <xf numFmtId="0" fontId="28" fillId="0" borderId="3" xfId="0" applyFont="1" applyBorder="1"/>
    <xf numFmtId="0" fontId="28" fillId="0" borderId="0" xfId="0" applyFont="1"/>
    <xf numFmtId="0" fontId="28" fillId="0" borderId="3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left" vertical="center"/>
    </xf>
    <xf numFmtId="0" fontId="39" fillId="0" borderId="0" xfId="0" applyFont="1"/>
    <xf numFmtId="0" fontId="38" fillId="0" borderId="0" xfId="0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0" xfId="0" applyFont="1"/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2" fontId="44" fillId="0" borderId="0" xfId="0" applyNumberFormat="1" applyFont="1" applyAlignment="1">
      <alignment vertical="center"/>
    </xf>
    <xf numFmtId="0" fontId="43" fillId="0" borderId="2" xfId="0" applyFont="1" applyBorder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2" xfId="0" applyFont="1" applyBorder="1" applyAlignment="1">
      <alignment vertical="center"/>
    </xf>
    <xf numFmtId="0" fontId="43" fillId="0" borderId="0" xfId="0" applyFont="1" applyAlignment="1">
      <alignment horizontal="left" vertical="top"/>
    </xf>
    <xf numFmtId="0" fontId="43" fillId="0" borderId="0" xfId="0" applyFont="1" applyAlignment="1">
      <alignment horizontal="center" vertical="top"/>
    </xf>
    <xf numFmtId="0" fontId="44" fillId="0" borderId="0" xfId="0" applyFont="1" applyAlignment="1">
      <alignment vertical="top"/>
    </xf>
    <xf numFmtId="0" fontId="44" fillId="0" borderId="2" xfId="0" applyFont="1" applyBorder="1" applyAlignment="1">
      <alignment vertical="center"/>
    </xf>
    <xf numFmtId="0" fontId="43" fillId="0" borderId="3" xfId="0" applyFont="1" applyBorder="1" applyAlignment="1">
      <alignment horizontal="left" vertical="center"/>
    </xf>
    <xf numFmtId="0" fontId="44" fillId="0" borderId="3" xfId="0" applyFont="1" applyBorder="1" applyAlignment="1">
      <alignment vertical="center"/>
    </xf>
    <xf numFmtId="0" fontId="40" fillId="0" borderId="0" xfId="0" applyFont="1"/>
    <xf numFmtId="0" fontId="45" fillId="0" borderId="40" xfId="0" applyFont="1" applyBorder="1"/>
    <xf numFmtId="0" fontId="45" fillId="0" borderId="0" xfId="0" applyFont="1"/>
    <xf numFmtId="0" fontId="28" fillId="0" borderId="37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46" fillId="0" borderId="37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46" xfId="0" applyFont="1" applyBorder="1" applyAlignment="1">
      <alignment horizontal="center" vertical="center"/>
    </xf>
    <xf numFmtId="0" fontId="11" fillId="0" borderId="48" xfId="0" applyFont="1" applyBorder="1"/>
    <xf numFmtId="0" fontId="11" fillId="0" borderId="37" xfId="0" applyFont="1" applyBorder="1"/>
    <xf numFmtId="0" fontId="11" fillId="0" borderId="3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6" xfId="0" applyFont="1" applyBorder="1" applyAlignment="1">
      <alignment vertical="center"/>
    </xf>
    <xf numFmtId="0" fontId="14" fillId="4" borderId="65" xfId="0" applyFont="1" applyFill="1" applyBorder="1" applyAlignment="1">
      <alignment horizontal="center" vertical="center"/>
    </xf>
    <xf numFmtId="0" fontId="2" fillId="0" borderId="73" xfId="0" applyFont="1" applyBorder="1"/>
    <xf numFmtId="0" fontId="2" fillId="0" borderId="46" xfId="0" applyFont="1" applyBorder="1" applyAlignment="1">
      <alignment horizontal="center"/>
    </xf>
    <xf numFmtId="0" fontId="14" fillId="0" borderId="2" xfId="0" applyFont="1" applyBorder="1"/>
    <xf numFmtId="0" fontId="19" fillId="0" borderId="2" xfId="0" applyFont="1" applyBorder="1"/>
    <xf numFmtId="0" fontId="14" fillId="0" borderId="37" xfId="0" applyFont="1" applyBorder="1"/>
    <xf numFmtId="0" fontId="2" fillId="0" borderId="47" xfId="0" applyFont="1" applyBorder="1"/>
    <xf numFmtId="0" fontId="14" fillId="0" borderId="48" xfId="0" applyFont="1" applyBorder="1"/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9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50" fillId="0" borderId="0" xfId="0" applyFont="1"/>
    <xf numFmtId="0" fontId="51" fillId="4" borderId="57" xfId="0" applyFont="1" applyFill="1" applyBorder="1" applyAlignment="1">
      <alignment horizontal="center" vertical="center" wrapText="1"/>
    </xf>
    <xf numFmtId="0" fontId="51" fillId="4" borderId="74" xfId="0" applyFont="1" applyFill="1" applyBorder="1" applyAlignment="1">
      <alignment horizontal="center" vertical="center" wrapText="1"/>
    </xf>
    <xf numFmtId="0" fontId="51" fillId="4" borderId="75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" fillId="0" borderId="3" xfId="0" applyFont="1" applyBorder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6" fillId="0" borderId="0" xfId="0" applyFont="1" applyAlignment="1">
      <alignment horizontal="right"/>
    </xf>
    <xf numFmtId="0" fontId="55" fillId="0" borderId="48" xfId="0" applyFont="1" applyBorder="1"/>
    <xf numFmtId="0" fontId="54" fillId="0" borderId="48" xfId="0" applyFont="1" applyBorder="1"/>
    <xf numFmtId="0" fontId="56" fillId="0" borderId="48" xfId="0" applyFont="1" applyBorder="1" applyAlignment="1">
      <alignment horizontal="right"/>
    </xf>
    <xf numFmtId="0" fontId="56" fillId="0" borderId="48" xfId="0" applyFont="1" applyBorder="1"/>
    <xf numFmtId="0" fontId="52" fillId="0" borderId="0" xfId="0" applyFont="1"/>
    <xf numFmtId="0" fontId="57" fillId="0" borderId="0" xfId="0" applyFont="1"/>
    <xf numFmtId="0" fontId="54" fillId="0" borderId="43" xfId="0" applyFont="1" applyBorder="1"/>
    <xf numFmtId="0" fontId="54" fillId="0" borderId="44" xfId="0" applyFont="1" applyBorder="1"/>
    <xf numFmtId="0" fontId="54" fillId="0" borderId="45" xfId="0" applyFont="1" applyBorder="1"/>
    <xf numFmtId="0" fontId="54" fillId="0" borderId="37" xfId="0" applyFont="1" applyBorder="1"/>
    <xf numFmtId="0" fontId="54" fillId="0" borderId="46" xfId="0" applyFont="1" applyBorder="1"/>
    <xf numFmtId="0" fontId="54" fillId="0" borderId="47" xfId="0" applyFont="1" applyBorder="1"/>
    <xf numFmtId="0" fontId="54" fillId="0" borderId="49" xfId="0" applyFont="1" applyBorder="1"/>
    <xf numFmtId="0" fontId="50" fillId="0" borderId="0" xfId="0" applyFont="1" applyAlignment="1">
      <alignment horizontal="right"/>
    </xf>
    <xf numFmtId="0" fontId="12" fillId="0" borderId="2" xfId="0" applyFont="1" applyBorder="1"/>
    <xf numFmtId="0" fontId="68" fillId="0" borderId="3" xfId="0" applyFont="1" applyBorder="1"/>
    <xf numFmtId="0" fontId="71" fillId="0" borderId="0" xfId="0" applyFont="1" applyAlignment="1">
      <alignment horizontal="center" vertical="center"/>
    </xf>
    <xf numFmtId="0" fontId="67" fillId="0" borderId="3" xfId="0" applyFont="1" applyBorder="1"/>
    <xf numFmtId="0" fontId="72" fillId="0" borderId="0" xfId="0" applyFont="1"/>
    <xf numFmtId="0" fontId="37" fillId="0" borderId="2" xfId="0" applyFont="1" applyBorder="1"/>
    <xf numFmtId="0" fontId="14" fillId="0" borderId="73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79" fillId="0" borderId="65" xfId="0" applyFont="1" applyBorder="1" applyAlignment="1">
      <alignment horizontal="center" vertical="center" wrapText="1"/>
    </xf>
    <xf numFmtId="0" fontId="79" fillId="0" borderId="10" xfId="0" applyFont="1" applyBorder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vertical="center"/>
    </xf>
    <xf numFmtId="0" fontId="79" fillId="0" borderId="0" xfId="0" applyFont="1"/>
    <xf numFmtId="0" fontId="80" fillId="0" borderId="0" xfId="0" applyFont="1"/>
    <xf numFmtId="0" fontId="49" fillId="0" borderId="76" xfId="0" applyFont="1" applyBorder="1" applyAlignment="1">
      <alignment horizontal="center" vertical="center" wrapText="1"/>
    </xf>
    <xf numFmtId="0" fontId="49" fillId="0" borderId="49" xfId="0" applyFont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 wrapText="1"/>
    </xf>
    <xf numFmtId="0" fontId="49" fillId="0" borderId="49" xfId="0" applyFont="1" applyBorder="1" applyAlignment="1">
      <alignment vertical="center" wrapText="1"/>
    </xf>
    <xf numFmtId="0" fontId="76" fillId="0" borderId="0" xfId="0" applyFont="1"/>
    <xf numFmtId="0" fontId="82" fillId="0" borderId="0" xfId="0" applyFont="1"/>
    <xf numFmtId="0" fontId="6" fillId="0" borderId="2" xfId="0" applyFont="1" applyBorder="1" applyAlignment="1">
      <alignment vertical="center" wrapText="1"/>
    </xf>
    <xf numFmtId="0" fontId="75" fillId="0" borderId="78" xfId="0" applyFont="1" applyBorder="1" applyAlignment="1">
      <alignment horizontal="center" vertical="center"/>
    </xf>
    <xf numFmtId="0" fontId="86" fillId="0" borderId="0" xfId="0" applyFont="1"/>
    <xf numFmtId="0" fontId="29" fillId="0" borderId="0" xfId="0" applyFont="1" applyAlignment="1">
      <alignment horizontal="left" vertical="center"/>
    </xf>
    <xf numFmtId="0" fontId="88" fillId="0" borderId="0" xfId="0" applyFont="1"/>
    <xf numFmtId="0" fontId="0" fillId="0" borderId="0" xfId="0" applyAlignment="1">
      <alignment vertical="center"/>
    </xf>
    <xf numFmtId="0" fontId="74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90" fillId="0" borderId="79" xfId="0" applyFont="1" applyBorder="1" applyAlignment="1">
      <alignment horizontal="center" vertical="center" wrapText="1"/>
    </xf>
    <xf numFmtId="0" fontId="79" fillId="0" borderId="83" xfId="0" applyFont="1" applyBorder="1" applyAlignment="1">
      <alignment horizontal="center" vertical="center" wrapText="1"/>
    </xf>
    <xf numFmtId="0" fontId="91" fillId="0" borderId="0" xfId="0" applyFont="1" applyAlignment="1">
      <alignment vertical="center" wrapText="1"/>
    </xf>
    <xf numFmtId="0" fontId="91" fillId="0" borderId="0" xfId="0" applyFont="1" applyAlignment="1">
      <alignment horizontal="center" vertical="center" wrapText="1"/>
    </xf>
    <xf numFmtId="0" fontId="92" fillId="0" borderId="0" xfId="0" applyFont="1"/>
    <xf numFmtId="0" fontId="94" fillId="0" borderId="79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98" fillId="0" borderId="2" xfId="0" applyFont="1" applyBorder="1" applyAlignment="1">
      <alignment horizontal="left" vertical="center"/>
    </xf>
    <xf numFmtId="0" fontId="89" fillId="0" borderId="79" xfId="0" applyFont="1" applyBorder="1" applyAlignment="1">
      <alignment horizontal="center" vertical="center"/>
    </xf>
    <xf numFmtId="0" fontId="89" fillId="0" borderId="79" xfId="0" applyFont="1" applyBorder="1" applyAlignment="1">
      <alignment horizontal="center" vertical="center"/>
    </xf>
    <xf numFmtId="49" fontId="89" fillId="0" borderId="79" xfId="0" quotePrefix="1" applyNumberFormat="1" applyFont="1" applyBorder="1" applyAlignment="1">
      <alignment horizontal="center" vertical="center"/>
    </xf>
    <xf numFmtId="0" fontId="90" fillId="0" borderId="79" xfId="0" applyFont="1" applyBorder="1" applyAlignment="1">
      <alignment horizontal="center" vertical="center"/>
    </xf>
    <xf numFmtId="0" fontId="99" fillId="0" borderId="79" xfId="0" applyFont="1" applyBorder="1"/>
    <xf numFmtId="0" fontId="0" fillId="5" borderId="79" xfId="0" applyFill="1" applyBorder="1"/>
    <xf numFmtId="0" fontId="100" fillId="0" borderId="2" xfId="0" applyFont="1" applyBorder="1" applyAlignment="1">
      <alignment horizontal="center"/>
    </xf>
    <xf numFmtId="0" fontId="102" fillId="0" borderId="0" xfId="1"/>
    <xf numFmtId="0" fontId="11" fillId="0" borderId="0" xfId="1" applyFont="1"/>
    <xf numFmtId="0" fontId="2" fillId="0" borderId="3" xfId="1" applyFont="1" applyBorder="1" applyAlignment="1">
      <alignment horizontal="left" vertical="top"/>
    </xf>
    <xf numFmtId="0" fontId="6" fillId="0" borderId="0" xfId="1" applyFont="1"/>
    <xf numFmtId="0" fontId="2" fillId="0" borderId="0" xfId="1" applyFont="1" applyAlignment="1">
      <alignment horizontal="center" vertical="top"/>
    </xf>
    <xf numFmtId="0" fontId="2" fillId="0" borderId="2" xfId="1" applyFont="1" applyBorder="1" applyAlignment="1">
      <alignment horizontal="left" vertical="top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2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/>
    </xf>
    <xf numFmtId="0" fontId="9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14" fillId="0" borderId="0" xfId="1" applyFont="1"/>
    <xf numFmtId="0" fontId="17" fillId="0" borderId="0" xfId="1" applyFont="1"/>
    <xf numFmtId="0" fontId="2" fillId="0" borderId="81" xfId="1" applyFont="1" applyBorder="1" applyAlignment="1">
      <alignment vertical="top"/>
    </xf>
    <xf numFmtId="0" fontId="2" fillId="0" borderId="0" xfId="1" applyFont="1" applyAlignment="1">
      <alignment vertical="top"/>
    </xf>
    <xf numFmtId="0" fontId="2" fillId="0" borderId="3" xfId="1" applyFont="1" applyBorder="1" applyAlignment="1">
      <alignment vertical="top"/>
    </xf>
    <xf numFmtId="0" fontId="2" fillId="0" borderId="2" xfId="1" applyFont="1" applyBorder="1" applyAlignment="1">
      <alignment vertical="top"/>
    </xf>
    <xf numFmtId="0" fontId="2" fillId="0" borderId="2" xfId="1" applyFont="1" applyBorder="1" applyAlignment="1">
      <alignment vertical="center"/>
    </xf>
    <xf numFmtId="0" fontId="2" fillId="0" borderId="0" xfId="1" applyFont="1" applyAlignment="1">
      <alignment horizontal="left" vertical="top"/>
    </xf>
    <xf numFmtId="0" fontId="2" fillId="0" borderId="40" xfId="1" applyFont="1" applyBorder="1" applyAlignment="1">
      <alignment vertical="top"/>
    </xf>
    <xf numFmtId="0" fontId="2" fillId="0" borderId="0" xfId="1" applyFont="1" applyAlignment="1">
      <alignment vertical="center"/>
    </xf>
    <xf numFmtId="2" fontId="17" fillId="0" borderId="0" xfId="1" applyNumberFormat="1" applyFont="1"/>
    <xf numFmtId="0" fontId="19" fillId="0" borderId="0" xfId="1" applyFont="1"/>
    <xf numFmtId="0" fontId="17" fillId="0" borderId="0" xfId="1" applyFont="1" applyAlignment="1">
      <alignment vertical="center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 wrapText="1"/>
    </xf>
    <xf numFmtId="0" fontId="72" fillId="0" borderId="0" xfId="1" applyFont="1"/>
    <xf numFmtId="0" fontId="30" fillId="0" borderId="0" xfId="1" applyFont="1"/>
    <xf numFmtId="0" fontId="30" fillId="0" borderId="65" xfId="1" applyFont="1" applyBorder="1" applyAlignment="1">
      <alignment horizontal="center" vertical="center"/>
    </xf>
    <xf numFmtId="49" fontId="84" fillId="0" borderId="78" xfId="1" quotePrefix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0" fontId="32" fillId="0" borderId="65" xfId="1" applyFont="1" applyBorder="1" applyAlignment="1">
      <alignment horizontal="center" vertical="center" wrapText="1"/>
    </xf>
    <xf numFmtId="0" fontId="32" fillId="0" borderId="17" xfId="1" applyFont="1" applyBorder="1" applyAlignment="1">
      <alignment horizontal="center" vertical="center" wrapText="1"/>
    </xf>
    <xf numFmtId="0" fontId="31" fillId="0" borderId="0" xfId="1" applyFont="1"/>
    <xf numFmtId="0" fontId="19" fillId="0" borderId="0" xfId="1" applyFont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6" fillId="0" borderId="2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14" fillId="0" borderId="0" xfId="1" applyFont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vertical="center"/>
    </xf>
    <xf numFmtId="0" fontId="14" fillId="0" borderId="0" xfId="1" applyFont="1" applyAlignment="1">
      <alignment horizontal="center" vertical="center"/>
    </xf>
    <xf numFmtId="0" fontId="2" fillId="0" borderId="2" xfId="1" applyFont="1" applyBorder="1"/>
    <xf numFmtId="0" fontId="16" fillId="0" borderId="3" xfId="1" applyFont="1" applyBorder="1"/>
    <xf numFmtId="0" fontId="2" fillId="0" borderId="2" xfId="1" applyFont="1" applyBorder="1" applyAlignment="1">
      <alignment horizontal="center" vertical="top"/>
    </xf>
    <xf numFmtId="0" fontId="16" fillId="0" borderId="0" xfId="1" applyFont="1"/>
    <xf numFmtId="0" fontId="2" fillId="0" borderId="40" xfId="1" applyFont="1" applyBorder="1" applyAlignment="1">
      <alignment horizontal="left" vertical="center"/>
    </xf>
    <xf numFmtId="0" fontId="19" fillId="0" borderId="2" xfId="1" applyFont="1" applyBorder="1"/>
    <xf numFmtId="0" fontId="62" fillId="0" borderId="0" xfId="1" applyFont="1"/>
    <xf numFmtId="0" fontId="60" fillId="0" borderId="0" xfId="1" applyFont="1"/>
    <xf numFmtId="0" fontId="61" fillId="0" borderId="0" xfId="1" applyFont="1"/>
    <xf numFmtId="0" fontId="60" fillId="0" borderId="65" xfId="1" applyFont="1" applyBorder="1" applyAlignment="1">
      <alignment horizontal="center"/>
    </xf>
    <xf numFmtId="0" fontId="60" fillId="0" borderId="65" xfId="1" applyFont="1" applyBorder="1" applyAlignment="1">
      <alignment horizontal="center" vertical="center"/>
    </xf>
    <xf numFmtId="0" fontId="96" fillId="0" borderId="65" xfId="1" applyFont="1" applyBorder="1" applyAlignment="1">
      <alignment horizontal="center"/>
    </xf>
    <xf numFmtId="0" fontId="96" fillId="0" borderId="65" xfId="1" quotePrefix="1" applyFont="1" applyBorder="1" applyAlignment="1">
      <alignment horizontal="center"/>
    </xf>
    <xf numFmtId="0" fontId="97" fillId="0" borderId="78" xfId="1" quotePrefix="1" applyFont="1" applyBorder="1" applyAlignment="1">
      <alignment horizontal="center" vertical="center"/>
    </xf>
    <xf numFmtId="0" fontId="97" fillId="0" borderId="78" xfId="1" applyFont="1" applyBorder="1" applyAlignment="1">
      <alignment horizontal="center" vertical="center"/>
    </xf>
    <xf numFmtId="3" fontId="73" fillId="0" borderId="0" xfId="1" applyNumberFormat="1" applyFont="1"/>
    <xf numFmtId="0" fontId="58" fillId="0" borderId="0" xfId="1" applyFont="1"/>
    <xf numFmtId="0" fontId="58" fillId="0" borderId="3" xfId="1" applyFont="1" applyBorder="1"/>
    <xf numFmtId="0" fontId="16" fillId="0" borderId="2" xfId="1" applyFont="1" applyBorder="1"/>
    <xf numFmtId="0" fontId="1" fillId="0" borderId="0" xfId="1" applyFont="1" applyAlignment="1">
      <alignment horizontal="right"/>
    </xf>
    <xf numFmtId="0" fontId="58" fillId="0" borderId="2" xfId="1" applyFont="1" applyBorder="1"/>
    <xf numFmtId="0" fontId="82" fillId="0" borderId="2" xfId="1" applyFont="1" applyBorder="1"/>
    <xf numFmtId="164" fontId="14" fillId="0" borderId="2" xfId="1" applyNumberFormat="1" applyFont="1" applyBorder="1"/>
    <xf numFmtId="0" fontId="59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26" fillId="0" borderId="0" xfId="1" applyFont="1" applyAlignment="1">
      <alignment horizontal="right" vertical="center"/>
    </xf>
    <xf numFmtId="0" fontId="24" fillId="0" borderId="0" xfId="1" applyFont="1" applyAlignment="1">
      <alignment horizontal="center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horizontal="left"/>
    </xf>
    <xf numFmtId="164" fontId="6" fillId="0" borderId="0" xfId="1" applyNumberFormat="1" applyFont="1" applyAlignment="1">
      <alignment horizontal="left" vertical="center"/>
    </xf>
    <xf numFmtId="0" fontId="25" fillId="3" borderId="65" xfId="1" applyFont="1" applyFill="1" applyBorder="1" applyAlignment="1">
      <alignment horizontal="center" vertical="center"/>
    </xf>
    <xf numFmtId="0" fontId="25" fillId="3" borderId="65" xfId="1" applyFont="1" applyFill="1" applyBorder="1" applyAlignment="1">
      <alignment horizontal="center" vertical="center" wrapText="1"/>
    </xf>
    <xf numFmtId="0" fontId="25" fillId="0" borderId="15" xfId="1" applyFont="1" applyBorder="1" applyAlignment="1">
      <alignment horizontal="center" vertical="center" wrapText="1"/>
    </xf>
    <xf numFmtId="0" fontId="2" fillId="0" borderId="65" xfId="1" applyFont="1" applyBorder="1" applyAlignment="1">
      <alignment horizontal="center"/>
    </xf>
    <xf numFmtId="0" fontId="2" fillId="0" borderId="65" xfId="1" applyFont="1" applyBorder="1"/>
    <xf numFmtId="0" fontId="2" fillId="0" borderId="15" xfId="1" applyFont="1" applyBorder="1"/>
    <xf numFmtId="0" fontId="2" fillId="0" borderId="65" xfId="1" applyFont="1" applyBorder="1" applyAlignment="1">
      <alignment horizontal="center" vertical="center"/>
    </xf>
    <xf numFmtId="0" fontId="2" fillId="0" borderId="65" xfId="1" applyFont="1" applyBorder="1" applyAlignment="1">
      <alignment vertical="center" wrapText="1"/>
    </xf>
    <xf numFmtId="0" fontId="2" fillId="0" borderId="15" xfId="1" applyFont="1" applyBorder="1" applyAlignment="1">
      <alignment vertical="center" wrapText="1"/>
    </xf>
    <xf numFmtId="0" fontId="2" fillId="0" borderId="65" xfId="1" applyFont="1" applyBorder="1" applyAlignment="1">
      <alignment wrapText="1"/>
    </xf>
    <xf numFmtId="0" fontId="2" fillId="0" borderId="15" xfId="1" applyFont="1" applyBorder="1" applyAlignment="1">
      <alignment wrapText="1"/>
    </xf>
    <xf numFmtId="0" fontId="2" fillId="0" borderId="0" xfId="1" applyFont="1" applyAlignment="1">
      <alignment vertical="center" wrapText="1"/>
    </xf>
    <xf numFmtId="0" fontId="102" fillId="5" borderId="79" xfId="0" applyFont="1" applyFill="1" applyBorder="1"/>
    <xf numFmtId="0" fontId="2" fillId="0" borderId="3" xfId="1" applyFont="1" applyBorder="1"/>
    <xf numFmtId="0" fontId="27" fillId="0" borderId="0" xfId="1" applyFont="1" applyAlignment="1">
      <alignment vertical="center"/>
    </xf>
    <xf numFmtId="0" fontId="76" fillId="0" borderId="0" xfId="1" applyFont="1"/>
    <xf numFmtId="0" fontId="49" fillId="0" borderId="49" xfId="1" applyFont="1" applyBorder="1" applyAlignment="1">
      <alignment vertical="center" wrapText="1"/>
    </xf>
    <xf numFmtId="0" fontId="49" fillId="0" borderId="49" xfId="1" applyFont="1" applyBorder="1" applyAlignment="1">
      <alignment horizontal="center" vertical="center" wrapText="1"/>
    </xf>
    <xf numFmtId="0" fontId="49" fillId="0" borderId="48" xfId="1" applyFont="1" applyBorder="1" applyAlignment="1">
      <alignment horizontal="center" vertical="center" wrapText="1"/>
    </xf>
    <xf numFmtId="0" fontId="49" fillId="0" borderId="76" xfId="1" applyFont="1" applyBorder="1" applyAlignment="1">
      <alignment horizontal="center" vertical="center" wrapText="1"/>
    </xf>
    <xf numFmtId="0" fontId="51" fillId="4" borderId="74" xfId="1" applyFont="1" applyFill="1" applyBorder="1" applyAlignment="1">
      <alignment horizontal="center" vertical="center" wrapText="1"/>
    </xf>
    <xf numFmtId="0" fontId="51" fillId="4" borderId="75" xfId="1" applyFont="1" applyFill="1" applyBorder="1" applyAlignment="1">
      <alignment horizontal="center" vertical="center" wrapText="1"/>
    </xf>
    <xf numFmtId="0" fontId="51" fillId="4" borderId="57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right"/>
    </xf>
    <xf numFmtId="0" fontId="49" fillId="0" borderId="0" xfId="1" applyFont="1" applyAlignment="1">
      <alignment horizontal="left"/>
    </xf>
    <xf numFmtId="0" fontId="47" fillId="0" borderId="0" xfId="1" applyFont="1" applyAlignment="1">
      <alignment horizontal="center" vertical="center"/>
    </xf>
    <xf numFmtId="0" fontId="47" fillId="0" borderId="0" xfId="1" applyFont="1" applyAlignment="1">
      <alignment vertical="center"/>
    </xf>
    <xf numFmtId="0" fontId="2" fillId="0" borderId="3" xfId="1" applyFont="1" applyBorder="1" applyAlignment="1">
      <alignment horizontal="left" vertical="top"/>
    </xf>
    <xf numFmtId="0" fontId="102" fillId="0" borderId="0" xfId="1"/>
    <xf numFmtId="0" fontId="2" fillId="0" borderId="2" xfId="1" applyFont="1" applyBorder="1" applyAlignment="1">
      <alignment horizontal="left" vertical="center"/>
    </xf>
    <xf numFmtId="0" fontId="2" fillId="0" borderId="40" xfId="1" applyFont="1" applyBorder="1" applyAlignment="1">
      <alignment horizontal="left" vertical="center"/>
    </xf>
    <xf numFmtId="0" fontId="2" fillId="0" borderId="0" xfId="1" applyFont="1" applyAlignment="1">
      <alignment horizontal="left" vertical="top"/>
    </xf>
    <xf numFmtId="0" fontId="0" fillId="0" borderId="0" xfId="0"/>
    <xf numFmtId="0" fontId="14" fillId="0" borderId="0" xfId="0" applyFont="1" applyAlignment="1">
      <alignment horizontal="left" vertical="top"/>
    </xf>
    <xf numFmtId="0" fontId="29" fillId="0" borderId="0" xfId="0" applyFont="1"/>
    <xf numFmtId="0" fontId="14" fillId="0" borderId="0" xfId="1" applyFont="1" applyAlignment="1">
      <alignment vertical="center"/>
    </xf>
    <xf numFmtId="0" fontId="19" fillId="0" borderId="2" xfId="1" applyFont="1" applyBorder="1" applyAlignment="1">
      <alignment vertical="center"/>
    </xf>
    <xf numFmtId="0" fontId="16" fillId="0" borderId="0" xfId="1" applyFont="1" applyAlignment="1">
      <alignment vertical="center"/>
    </xf>
    <xf numFmtId="164" fontId="11" fillId="0" borderId="2" xfId="1" applyNumberFormat="1" applyFont="1" applyBorder="1" applyAlignment="1">
      <alignment vertical="center"/>
    </xf>
    <xf numFmtId="0" fontId="11" fillId="0" borderId="2" xfId="1" applyFont="1" applyBorder="1"/>
    <xf numFmtId="0" fontId="29" fillId="0" borderId="3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0" fontId="60" fillId="0" borderId="2" xfId="1" applyFont="1" applyBorder="1" applyAlignment="1">
      <alignment vertical="center"/>
    </xf>
    <xf numFmtId="0" fontId="60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11" fillId="0" borderId="3" xfId="1" applyFont="1" applyBorder="1" applyAlignment="1">
      <alignment vertical="center"/>
    </xf>
    <xf numFmtId="0" fontId="106" fillId="0" borderId="37" xfId="1" applyFont="1" applyBorder="1" applyAlignment="1">
      <alignment vertical="center"/>
    </xf>
    <xf numFmtId="49" fontId="107" fillId="0" borderId="84" xfId="1" applyNumberFormat="1" applyFont="1" applyBorder="1" applyAlignment="1">
      <alignment vertical="center"/>
    </xf>
    <xf numFmtId="49" fontId="60" fillId="0" borderId="0" xfId="1" applyNumberFormat="1" applyFont="1" applyAlignment="1">
      <alignment vertical="center"/>
    </xf>
    <xf numFmtId="49" fontId="60" fillId="0" borderId="46" xfId="1" applyNumberFormat="1" applyFont="1" applyBorder="1" applyAlignment="1">
      <alignment vertical="center"/>
    </xf>
    <xf numFmtId="0" fontId="108" fillId="0" borderId="37" xfId="1" applyFont="1" applyBorder="1" applyAlignment="1">
      <alignment vertical="center"/>
    </xf>
    <xf numFmtId="49" fontId="107" fillId="0" borderId="0" xfId="1" applyNumberFormat="1" applyFont="1" applyAlignment="1">
      <alignment vertical="center"/>
    </xf>
    <xf numFmtId="0" fontId="108" fillId="0" borderId="0" xfId="1" applyFont="1" applyAlignment="1">
      <alignment vertical="center"/>
    </xf>
    <xf numFmtId="0" fontId="108" fillId="0" borderId="46" xfId="1" applyFont="1" applyBorder="1" applyAlignment="1">
      <alignment vertical="center"/>
    </xf>
    <xf numFmtId="0" fontId="60" fillId="0" borderId="86" xfId="1" applyFont="1" applyBorder="1" applyAlignment="1">
      <alignment horizontal="center"/>
    </xf>
    <xf numFmtId="0" fontId="60" fillId="0" borderId="87" xfId="1" applyFont="1" applyBorder="1" applyAlignment="1">
      <alignment horizontal="center"/>
    </xf>
    <xf numFmtId="0" fontId="108" fillId="0" borderId="47" xfId="1" applyFont="1" applyBorder="1" applyAlignment="1">
      <alignment vertical="center"/>
    </xf>
    <xf numFmtId="0" fontId="108" fillId="0" borderId="48" xfId="1" applyFont="1" applyBorder="1" applyAlignment="1">
      <alignment vertical="center"/>
    </xf>
    <xf numFmtId="0" fontId="108" fillId="0" borderId="49" xfId="1" applyFont="1" applyBorder="1" applyAlignment="1">
      <alignment vertical="center"/>
    </xf>
    <xf numFmtId="0" fontId="60" fillId="0" borderId="76" xfId="1" applyFont="1" applyBorder="1" applyAlignment="1">
      <alignment horizontal="center"/>
    </xf>
    <xf numFmtId="165" fontId="60" fillId="0" borderId="57" xfId="1" applyNumberFormat="1" applyFont="1" applyBorder="1" applyAlignment="1">
      <alignment horizontal="center"/>
    </xf>
    <xf numFmtId="0" fontId="60" fillId="0" borderId="57" xfId="1" applyFont="1" applyBorder="1" applyAlignment="1">
      <alignment horizontal="center"/>
    </xf>
    <xf numFmtId="0" fontId="60" fillId="0" borderId="57" xfId="1" applyFont="1" applyBorder="1" applyAlignment="1">
      <alignment horizontal="center" vertical="center"/>
    </xf>
    <xf numFmtId="0" fontId="106" fillId="0" borderId="46" xfId="1" applyFont="1" applyBorder="1" applyAlignment="1">
      <alignment horizontal="center" vertical="center"/>
    </xf>
    <xf numFmtId="0" fontId="60" fillId="0" borderId="46" xfId="1" applyFont="1" applyBorder="1" applyAlignment="1">
      <alignment horizontal="center" vertical="center"/>
    </xf>
    <xf numFmtId="0" fontId="109" fillId="0" borderId="46" xfId="1" applyFont="1" applyBorder="1" applyAlignment="1">
      <alignment horizontal="center" vertical="center"/>
    </xf>
    <xf numFmtId="0" fontId="60" fillId="0" borderId="88" xfId="1" applyFont="1" applyBorder="1" applyAlignment="1">
      <alignment horizontal="center"/>
    </xf>
    <xf numFmtId="0" fontId="110" fillId="0" borderId="89" xfId="1" quotePrefix="1" applyFont="1" applyBorder="1" applyAlignment="1">
      <alignment horizontal="center" vertical="center"/>
    </xf>
    <xf numFmtId="0" fontId="60" fillId="0" borderId="13" xfId="1" applyFont="1" applyBorder="1" applyAlignment="1">
      <alignment horizontal="center"/>
    </xf>
    <xf numFmtId="0" fontId="60" fillId="0" borderId="64" xfId="1" applyFont="1" applyBorder="1" applyAlignment="1">
      <alignment horizontal="center"/>
    </xf>
    <xf numFmtId="0" fontId="60" fillId="0" borderId="91" xfId="1" applyFont="1" applyBorder="1" applyAlignment="1">
      <alignment horizontal="center"/>
    </xf>
    <xf numFmtId="0" fontId="95" fillId="0" borderId="92" xfId="1" applyFont="1" applyBorder="1" applyAlignment="1">
      <alignment horizontal="center" vertical="center"/>
    </xf>
    <xf numFmtId="0" fontId="60" fillId="0" borderId="35" xfId="1" applyFont="1" applyBorder="1" applyAlignment="1">
      <alignment horizontal="center"/>
    </xf>
    <xf numFmtId="0" fontId="60" fillId="0" borderId="63" xfId="1" applyFont="1" applyBorder="1" applyAlignment="1">
      <alignment horizontal="center"/>
    </xf>
    <xf numFmtId="0" fontId="96" fillId="0" borderId="64" xfId="1" applyFont="1" applyBorder="1" applyAlignment="1">
      <alignment horizontal="center"/>
    </xf>
    <xf numFmtId="0" fontId="96" fillId="0" borderId="63" xfId="1" applyFont="1" applyBorder="1" applyAlignment="1">
      <alignment horizontal="center"/>
    </xf>
    <xf numFmtId="0" fontId="60" fillId="0" borderId="22" xfId="1" applyFont="1" applyBorder="1" applyAlignment="1">
      <alignment horizontal="center"/>
    </xf>
    <xf numFmtId="0" fontId="60" fillId="0" borderId="19" xfId="1" applyFont="1" applyBorder="1" applyAlignment="1">
      <alignment horizontal="center"/>
    </xf>
    <xf numFmtId="0" fontId="60" fillId="0" borderId="32" xfId="1" applyFont="1" applyBorder="1" applyAlignment="1">
      <alignment horizontal="center"/>
    </xf>
    <xf numFmtId="0" fontId="6" fillId="0" borderId="0" xfId="1" applyFont="1" applyAlignment="1">
      <alignment vertical="top"/>
    </xf>
    <xf numFmtId="0" fontId="2" fillId="0" borderId="40" xfId="1" applyFont="1" applyBorder="1"/>
    <xf numFmtId="0" fontId="2" fillId="0" borderId="3" xfId="1" applyFont="1" applyBorder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8" fillId="0" borderId="0" xfId="0" applyFont="1"/>
    <xf numFmtId="0" fontId="11" fillId="0" borderId="0" xfId="0" applyFont="1" applyAlignment="1">
      <alignment horizontal="center"/>
    </xf>
    <xf numFmtId="0" fontId="76" fillId="0" borderId="0" xfId="0" applyFont="1"/>
    <xf numFmtId="0" fontId="29" fillId="0" borderId="77" xfId="0" applyFont="1" applyBorder="1" applyAlignment="1">
      <alignment horizontal="left" vertical="center"/>
    </xf>
    <xf numFmtId="0" fontId="72" fillId="0" borderId="77" xfId="0" applyFont="1" applyBorder="1" applyAlignment="1">
      <alignment horizontal="left"/>
    </xf>
    <xf numFmtId="0" fontId="29" fillId="0" borderId="77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12" fillId="0" borderId="2" xfId="0" applyFont="1" applyBorder="1"/>
    <xf numFmtId="0" fontId="2" fillId="0" borderId="3" xfId="0" applyFont="1" applyBorder="1" applyAlignment="1">
      <alignment horizontal="left" vertical="top"/>
    </xf>
    <xf numFmtId="0" fontId="12" fillId="0" borderId="3" xfId="0" applyFont="1" applyBorder="1"/>
    <xf numFmtId="0" fontId="2" fillId="0" borderId="16" xfId="0" applyFont="1" applyBorder="1" applyAlignment="1">
      <alignment horizontal="left" vertical="center" wrapText="1"/>
    </xf>
    <xf numFmtId="0" fontId="12" fillId="0" borderId="17" xfId="0" applyFont="1" applyBorder="1"/>
    <xf numFmtId="0" fontId="16" fillId="0" borderId="23" xfId="0" applyFont="1" applyBorder="1" applyAlignment="1">
      <alignment horizontal="left" vertical="top"/>
    </xf>
    <xf numFmtId="0" fontId="12" fillId="0" borderId="7" xfId="0" applyFont="1" applyBorder="1"/>
    <xf numFmtId="0" fontId="12" fillId="0" borderId="24" xfId="0" applyFont="1" applyBorder="1"/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center" vertical="center"/>
    </xf>
    <xf numFmtId="0" fontId="12" fillId="0" borderId="21" xfId="0" applyFont="1" applyBorder="1"/>
    <xf numFmtId="0" fontId="12" fillId="0" borderId="22" xfId="0" applyFont="1" applyBorder="1"/>
    <xf numFmtId="0" fontId="2" fillId="0" borderId="10" xfId="0" applyFont="1" applyBorder="1" applyAlignment="1">
      <alignment horizontal="center" vertical="center" wrapText="1"/>
    </xf>
    <xf numFmtId="0" fontId="12" fillId="0" borderId="15" xfId="0" applyFont="1" applyBorder="1"/>
    <xf numFmtId="0" fontId="12" fillId="0" borderId="19" xfId="0" applyFont="1" applyBorder="1"/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12" fillId="0" borderId="8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12" fillId="0" borderId="12" xfId="0" applyFont="1" applyBorder="1"/>
    <xf numFmtId="0" fontId="12" fillId="0" borderId="13" xfId="0" applyFont="1" applyBorder="1"/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65" fillId="0" borderId="2" xfId="0" applyFont="1" applyBorder="1" applyAlignment="1">
      <alignment horizontal="left"/>
    </xf>
    <xf numFmtId="0" fontId="66" fillId="0" borderId="2" xfId="0" applyFont="1" applyBorder="1"/>
    <xf numFmtId="0" fontId="6" fillId="0" borderId="2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left"/>
    </xf>
    <xf numFmtId="0" fontId="66" fillId="0" borderId="3" xfId="0" applyFont="1" applyBorder="1"/>
    <xf numFmtId="0" fontId="65" fillId="0" borderId="2" xfId="0" applyFont="1" applyBorder="1" applyAlignment="1">
      <alignment horizontal="left" vertical="center" wrapText="1"/>
    </xf>
    <xf numFmtId="0" fontId="69" fillId="0" borderId="3" xfId="0" applyFont="1" applyBorder="1" applyAlignment="1">
      <alignment horizontal="left"/>
    </xf>
    <xf numFmtId="0" fontId="70" fillId="0" borderId="3" xfId="0" applyFont="1" applyBorder="1"/>
    <xf numFmtId="0" fontId="22" fillId="0" borderId="37" xfId="0" applyFont="1" applyBorder="1" applyAlignment="1">
      <alignment horizontal="left" vertical="top"/>
    </xf>
    <xf numFmtId="0" fontId="2" fillId="0" borderId="38" xfId="0" applyFont="1" applyBorder="1" applyAlignment="1">
      <alignment horizontal="left" vertical="center"/>
    </xf>
    <xf numFmtId="0" fontId="12" fillId="0" borderId="50" xfId="0" applyFont="1" applyBorder="1"/>
    <xf numFmtId="0" fontId="2" fillId="0" borderId="66" xfId="0" applyFont="1" applyBorder="1" applyAlignment="1">
      <alignment horizontal="left" vertical="top"/>
    </xf>
    <xf numFmtId="0" fontId="12" fillId="0" borderId="34" xfId="0" applyFont="1" applyBorder="1"/>
    <xf numFmtId="0" fontId="17" fillId="0" borderId="43" xfId="0" applyFont="1" applyBorder="1" applyAlignment="1">
      <alignment horizontal="left" vertical="top"/>
    </xf>
    <xf numFmtId="0" fontId="12" fillId="0" borderId="44" xfId="0" applyFont="1" applyBorder="1"/>
    <xf numFmtId="0" fontId="12" fillId="0" borderId="45" xfId="0" applyFont="1" applyBorder="1"/>
    <xf numFmtId="0" fontId="12" fillId="0" borderId="47" xfId="0" applyFont="1" applyBorder="1"/>
    <xf numFmtId="0" fontId="12" fillId="0" borderId="48" xfId="0" applyFont="1" applyBorder="1"/>
    <xf numFmtId="0" fontId="12" fillId="0" borderId="49" xfId="0" applyFont="1" applyBorder="1"/>
    <xf numFmtId="0" fontId="2" fillId="0" borderId="37" xfId="0" applyFont="1" applyBorder="1" applyAlignment="1">
      <alignment horizontal="left"/>
    </xf>
    <xf numFmtId="0" fontId="6" fillId="0" borderId="38" xfId="0" applyFont="1" applyBorder="1" applyAlignment="1">
      <alignment horizontal="center"/>
    </xf>
    <xf numFmtId="0" fontId="12" fillId="0" borderId="32" xfId="0" applyFont="1" applyBorder="1"/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12" fillId="0" borderId="29" xfId="0" applyFont="1" applyBorder="1"/>
    <xf numFmtId="0" fontId="17" fillId="0" borderId="60" xfId="0" applyFont="1" applyBorder="1" applyAlignment="1">
      <alignment horizontal="center" vertical="center" wrapText="1"/>
    </xf>
    <xf numFmtId="0" fontId="12" fillId="0" borderId="30" xfId="0" applyFont="1" applyBorder="1"/>
    <xf numFmtId="0" fontId="100" fillId="0" borderId="38" xfId="0" applyFont="1" applyBorder="1" applyAlignment="1">
      <alignment horizontal="center"/>
    </xf>
    <xf numFmtId="0" fontId="100" fillId="0" borderId="11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43" xfId="0" applyFont="1" applyBorder="1" applyAlignment="1">
      <alignment horizontal="center" vertical="center" wrapText="1"/>
    </xf>
    <xf numFmtId="0" fontId="12" fillId="0" borderId="58" xfId="0" applyFont="1" applyBorder="1"/>
    <xf numFmtId="0" fontId="12" fillId="0" borderId="61" xfId="0" applyFont="1" applyBorder="1"/>
    <xf numFmtId="0" fontId="2" fillId="0" borderId="59" xfId="0" applyFont="1" applyBorder="1" applyAlignment="1">
      <alignment horizontal="center" vertical="center" wrapText="1"/>
    </xf>
    <xf numFmtId="0" fontId="12" fillId="0" borderId="62" xfId="0" applyFont="1" applyBorder="1"/>
    <xf numFmtId="0" fontId="2" fillId="0" borderId="11" xfId="0" applyFont="1" applyBorder="1" applyAlignment="1">
      <alignment horizontal="center" vertical="center" wrapText="1"/>
    </xf>
    <xf numFmtId="0" fontId="67" fillId="0" borderId="3" xfId="0" applyFont="1" applyBorder="1" applyAlignment="1">
      <alignment horizontal="left"/>
    </xf>
    <xf numFmtId="0" fontId="68" fillId="0" borderId="3" xfId="0" applyFont="1" applyBorder="1"/>
    <xf numFmtId="0" fontId="6" fillId="0" borderId="23" xfId="0" applyFont="1" applyBorder="1" applyAlignment="1">
      <alignment horizontal="center"/>
    </xf>
    <xf numFmtId="0" fontId="6" fillId="0" borderId="23" xfId="0" applyFont="1" applyBorder="1" applyAlignment="1">
      <alignment horizontal="left" vertical="center" wrapText="1"/>
    </xf>
    <xf numFmtId="0" fontId="10" fillId="0" borderId="43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 wrapText="1"/>
    </xf>
    <xf numFmtId="0" fontId="12" fillId="0" borderId="56" xfId="0" applyFont="1" applyBorder="1"/>
    <xf numFmtId="0" fontId="12" fillId="0" borderId="28" xfId="0" applyFont="1" applyBorder="1"/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12" fillId="0" borderId="35" xfId="0" applyFont="1" applyBorder="1"/>
    <xf numFmtId="0" fontId="83" fillId="0" borderId="23" xfId="0" applyFont="1" applyBorder="1" applyAlignment="1">
      <alignment horizontal="left" vertical="top"/>
    </xf>
    <xf numFmtId="0" fontId="83" fillId="0" borderId="75" xfId="0" applyFont="1" applyBorder="1" applyAlignment="1">
      <alignment horizontal="left" vertical="top"/>
    </xf>
    <xf numFmtId="0" fontId="83" fillId="0" borderId="74" xfId="0" applyFont="1" applyBorder="1" applyAlignment="1">
      <alignment horizontal="left" vertical="top"/>
    </xf>
    <xf numFmtId="0" fontId="2" fillId="0" borderId="40" xfId="0" applyFont="1" applyBorder="1" applyAlignment="1">
      <alignment horizontal="left"/>
    </xf>
    <xf numFmtId="0" fontId="12" fillId="0" borderId="40" xfId="0" applyFont="1" applyBorder="1"/>
    <xf numFmtId="0" fontId="17" fillId="0" borderId="16" xfId="0" applyFont="1" applyBorder="1" applyAlignment="1">
      <alignment horizontal="left"/>
    </xf>
    <xf numFmtId="0" fontId="17" fillId="0" borderId="33" xfId="0" applyFont="1" applyBorder="1" applyAlignment="1">
      <alignment horizontal="left"/>
    </xf>
    <xf numFmtId="0" fontId="18" fillId="0" borderId="43" xfId="0" applyFont="1" applyBorder="1" applyAlignment="1">
      <alignment horizontal="left" vertical="top"/>
    </xf>
    <xf numFmtId="0" fontId="12" fillId="0" borderId="37" xfId="0" applyFont="1" applyBorder="1"/>
    <xf numFmtId="0" fontId="12" fillId="0" borderId="46" xfId="0" applyFont="1" applyBorder="1"/>
    <xf numFmtId="0" fontId="17" fillId="0" borderId="42" xfId="0" applyFont="1" applyBorder="1" applyAlignment="1">
      <alignment horizontal="left" vertical="center"/>
    </xf>
    <xf numFmtId="0" fontId="17" fillId="0" borderId="39" xfId="0" applyFont="1" applyBorder="1" applyAlignment="1">
      <alignment horizontal="left" vertical="center"/>
    </xf>
    <xf numFmtId="0" fontId="12" fillId="0" borderId="41" xfId="0" applyFont="1" applyBorder="1"/>
    <xf numFmtId="0" fontId="12" fillId="0" borderId="27" xfId="0" applyFont="1" applyBorder="1"/>
    <xf numFmtId="0" fontId="12" fillId="0" borderId="38" xfId="0" applyFont="1" applyBorder="1"/>
    <xf numFmtId="0" fontId="18" fillId="0" borderId="2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7" fillId="0" borderId="37" xfId="0" applyFont="1" applyBorder="1" applyAlignment="1">
      <alignment horizontal="left" vertical="center"/>
    </xf>
    <xf numFmtId="0" fontId="17" fillId="0" borderId="31" xfId="0" applyFont="1" applyBorder="1" applyAlignment="1">
      <alignment horizontal="left"/>
    </xf>
    <xf numFmtId="0" fontId="17" fillId="0" borderId="39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/>
    </xf>
    <xf numFmtId="0" fontId="18" fillId="0" borderId="39" xfId="0" applyFont="1" applyBorder="1" applyAlignment="1">
      <alignment horizontal="left" vertical="top"/>
    </xf>
    <xf numFmtId="0" fontId="12" fillId="0" borderId="54" xfId="0" applyFont="1" applyBorder="1"/>
    <xf numFmtId="0" fontId="17" fillId="0" borderId="16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center"/>
    </xf>
    <xf numFmtId="0" fontId="17" fillId="0" borderId="42" xfId="0" applyFont="1" applyBorder="1" applyAlignment="1">
      <alignment horizontal="center"/>
    </xf>
    <xf numFmtId="0" fontId="17" fillId="0" borderId="39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/>
    </xf>
    <xf numFmtId="0" fontId="17" fillId="0" borderId="11" xfId="0" applyFont="1" applyBorder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top" wrapText="1"/>
    </xf>
    <xf numFmtId="0" fontId="17" fillId="0" borderId="38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2" fillId="2" borderId="16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16" fillId="0" borderId="47" xfId="0" applyFont="1" applyBorder="1" applyAlignment="1">
      <alignment horizontal="left" vertical="top"/>
    </xf>
    <xf numFmtId="0" fontId="6" fillId="0" borderId="5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16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16" xfId="0" applyFont="1" applyBorder="1" applyAlignment="1">
      <alignment horizontal="center"/>
    </xf>
    <xf numFmtId="0" fontId="24" fillId="0" borderId="0" xfId="0" applyFont="1" applyAlignment="1">
      <alignment horizontal="center" wrapText="1"/>
    </xf>
    <xf numFmtId="0" fontId="25" fillId="3" borderId="16" xfId="0" applyFont="1" applyFill="1" applyBorder="1" applyAlignment="1">
      <alignment horizontal="center" vertical="center"/>
    </xf>
    <xf numFmtId="0" fontId="2" fillId="0" borderId="3" xfId="1" applyFont="1" applyBorder="1" applyAlignment="1">
      <alignment horizontal="left" vertical="top"/>
    </xf>
    <xf numFmtId="0" fontId="12" fillId="0" borderId="3" xfId="1" applyFont="1" applyBorder="1"/>
    <xf numFmtId="0" fontId="10" fillId="0" borderId="0" xfId="1" applyFont="1" applyAlignment="1">
      <alignment horizontal="center" vertical="center" wrapText="1"/>
    </xf>
    <xf numFmtId="0" fontId="102" fillId="0" borderId="0" xfId="1"/>
    <xf numFmtId="0" fontId="11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12" fillId="0" borderId="2" xfId="1" applyFont="1" applyBorder="1"/>
    <xf numFmtId="0" fontId="2" fillId="0" borderId="40" xfId="1" applyFont="1" applyBorder="1" applyAlignment="1">
      <alignment horizontal="left"/>
    </xf>
    <xf numFmtId="0" fontId="12" fillId="0" borderId="40" xfId="1" applyFont="1" applyBorder="1"/>
    <xf numFmtId="0" fontId="2" fillId="0" borderId="2" xfId="1" applyFont="1" applyBorder="1" applyAlignment="1">
      <alignment horizontal="left" vertical="top"/>
    </xf>
    <xf numFmtId="0" fontId="16" fillId="0" borderId="0" xfId="1" applyFont="1" applyAlignment="1">
      <alignment horizontal="left" vertical="center" wrapText="1"/>
    </xf>
    <xf numFmtId="0" fontId="32" fillId="0" borderId="10" xfId="1" applyFont="1" applyBorder="1" applyAlignment="1">
      <alignment horizontal="center" vertical="center" wrapText="1"/>
    </xf>
    <xf numFmtId="0" fontId="12" fillId="0" borderId="19" xfId="1" applyFont="1" applyBorder="1"/>
    <xf numFmtId="0" fontId="32" fillId="0" borderId="68" xfId="1" applyFont="1" applyBorder="1" applyAlignment="1">
      <alignment horizontal="center" vertical="center" wrapText="1"/>
    </xf>
    <xf numFmtId="0" fontId="12" fillId="0" borderId="41" xfId="1" applyFont="1" applyBorder="1"/>
    <xf numFmtId="0" fontId="12" fillId="0" borderId="31" xfId="1" applyFont="1" applyBorder="1"/>
    <xf numFmtId="0" fontId="12" fillId="0" borderId="32" xfId="1" applyFont="1" applyBorder="1"/>
    <xf numFmtId="0" fontId="67" fillId="0" borderId="2" xfId="1" applyFont="1" applyBorder="1" applyAlignment="1">
      <alignment horizontal="left" vertical="center" wrapText="1"/>
    </xf>
    <xf numFmtId="0" fontId="68" fillId="0" borderId="2" xfId="1" applyFont="1" applyBorder="1" applyAlignment="1">
      <alignment wrapText="1"/>
    </xf>
    <xf numFmtId="0" fontId="6" fillId="0" borderId="2" xfId="1" applyFont="1" applyBorder="1" applyAlignment="1">
      <alignment horizontal="left"/>
    </xf>
    <xf numFmtId="0" fontId="30" fillId="0" borderId="10" xfId="1" applyFont="1" applyBorder="1" applyAlignment="1">
      <alignment horizontal="center" vertical="center" wrapText="1"/>
    </xf>
    <xf numFmtId="0" fontId="30" fillId="0" borderId="15" xfId="1" applyFont="1" applyBorder="1" applyAlignment="1">
      <alignment horizontal="center" vertical="center" wrapText="1"/>
    </xf>
    <xf numFmtId="0" fontId="30" fillId="0" borderId="19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2" fillId="0" borderId="1" xfId="1" applyFont="1" applyBorder="1"/>
    <xf numFmtId="0" fontId="11" fillId="0" borderId="67" xfId="1" applyFont="1" applyBorder="1" applyAlignment="1">
      <alignment horizontal="center" vertical="center" wrapText="1"/>
    </xf>
    <xf numFmtId="0" fontId="12" fillId="0" borderId="67" xfId="1" applyFont="1" applyBorder="1"/>
    <xf numFmtId="0" fontId="30" fillId="0" borderId="0" xfId="1" applyFont="1" applyAlignment="1">
      <alignment horizontal="left"/>
    </xf>
    <xf numFmtId="0" fontId="30" fillId="0" borderId="10" xfId="1" applyFont="1" applyBorder="1" applyAlignment="1">
      <alignment horizontal="center" vertical="center"/>
    </xf>
    <xf numFmtId="0" fontId="30" fillId="0" borderId="15" xfId="1" applyFont="1" applyBorder="1" applyAlignment="1">
      <alignment horizontal="center" vertical="center"/>
    </xf>
    <xf numFmtId="0" fontId="30" fillId="0" borderId="19" xfId="1" applyFont="1" applyBorder="1" applyAlignment="1">
      <alignment horizontal="center" vertical="center"/>
    </xf>
    <xf numFmtId="0" fontId="84" fillId="0" borderId="78" xfId="1" quotePrefix="1" applyFont="1" applyBorder="1" applyAlignment="1">
      <alignment horizontal="center" vertical="center"/>
    </xf>
    <xf numFmtId="0" fontId="84" fillId="0" borderId="78" xfId="1" applyFont="1" applyBorder="1" applyAlignment="1">
      <alignment horizontal="center" vertical="center"/>
    </xf>
    <xf numFmtId="0" fontId="32" fillId="0" borderId="3" xfId="1" applyFont="1" applyBorder="1" applyAlignment="1">
      <alignment horizontal="center" vertical="center" wrapText="1"/>
    </xf>
    <xf numFmtId="0" fontId="12" fillId="0" borderId="17" xfId="1" applyFont="1" applyBorder="1"/>
    <xf numFmtId="0" fontId="30" fillId="0" borderId="68" xfId="1" quotePrefix="1" applyFont="1" applyBorder="1" applyAlignment="1">
      <alignment horizontal="center" vertical="center" wrapText="1"/>
    </xf>
    <xf numFmtId="0" fontId="30" fillId="0" borderId="41" xfId="1" applyFont="1" applyBorder="1" applyAlignment="1">
      <alignment horizontal="center" vertical="center" wrapText="1"/>
    </xf>
    <xf numFmtId="0" fontId="30" fillId="0" borderId="69" xfId="1" applyFont="1" applyBorder="1" applyAlignment="1">
      <alignment horizontal="center" vertical="center" wrapText="1"/>
    </xf>
    <xf numFmtId="0" fontId="30" fillId="0" borderId="27" xfId="1" applyFont="1" applyBorder="1" applyAlignment="1">
      <alignment horizontal="center" vertical="center" wrapText="1"/>
    </xf>
    <xf numFmtId="0" fontId="30" fillId="0" borderId="31" xfId="1" applyFont="1" applyBorder="1" applyAlignment="1">
      <alignment horizontal="center" vertical="center" wrapText="1"/>
    </xf>
    <xf numFmtId="0" fontId="30" fillId="0" borderId="32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33" fillId="0" borderId="0" xfId="1" applyFont="1" applyAlignment="1">
      <alignment horizontal="left"/>
    </xf>
    <xf numFmtId="0" fontId="17" fillId="0" borderId="0" xfId="1" applyFont="1" applyAlignment="1">
      <alignment horizontal="center" vertical="center" wrapText="1"/>
    </xf>
    <xf numFmtId="0" fontId="101" fillId="0" borderId="10" xfId="0" applyFont="1" applyBorder="1" applyAlignment="1">
      <alignment horizontal="center" vertical="center"/>
    </xf>
    <xf numFmtId="0" fontId="81" fillId="0" borderId="15" xfId="0" applyFont="1" applyBorder="1"/>
    <xf numFmtId="0" fontId="81" fillId="0" borderId="82" xfId="0" applyFont="1" applyBorder="1"/>
    <xf numFmtId="0" fontId="38" fillId="0" borderId="0" xfId="0" applyFont="1" applyAlignment="1">
      <alignment horizontal="center" vertical="center"/>
    </xf>
    <xf numFmtId="0" fontId="43" fillId="0" borderId="2" xfId="0" applyFont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 vertical="top"/>
    </xf>
    <xf numFmtId="0" fontId="103" fillId="0" borderId="10" xfId="0" applyFont="1" applyBorder="1" applyAlignment="1">
      <alignment horizontal="center" vertical="center" wrapText="1"/>
    </xf>
    <xf numFmtId="0" fontId="93" fillId="0" borderId="19" xfId="0" applyFont="1" applyBorder="1"/>
    <xf numFmtId="0" fontId="91" fillId="0" borderId="10" xfId="0" applyFont="1" applyBorder="1" applyAlignment="1">
      <alignment horizontal="center" vertical="center" wrapText="1"/>
    </xf>
    <xf numFmtId="0" fontId="101" fillId="0" borderId="79" xfId="0" applyFont="1" applyBorder="1" applyAlignment="1">
      <alignment horizontal="center" vertical="center"/>
    </xf>
    <xf numFmtId="0" fontId="89" fillId="0" borderId="79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8" fillId="0" borderId="0" xfId="0" applyFont="1" applyAlignment="1">
      <alignment horizontal="left"/>
    </xf>
    <xf numFmtId="0" fontId="85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left"/>
    </xf>
    <xf numFmtId="0" fontId="77" fillId="0" borderId="3" xfId="0" applyFont="1" applyBorder="1" applyAlignment="1">
      <alignment horizontal="left" vertical="center" wrapText="1"/>
    </xf>
    <xf numFmtId="0" fontId="60" fillId="0" borderId="10" xfId="1" applyFont="1" applyBorder="1" applyAlignment="1">
      <alignment horizontal="center" vertical="center"/>
    </xf>
    <xf numFmtId="0" fontId="12" fillId="0" borderId="15" xfId="1" applyFont="1" applyBorder="1"/>
    <xf numFmtId="0" fontId="60" fillId="0" borderId="10" xfId="1" applyFont="1" applyBorder="1" applyAlignment="1">
      <alignment horizontal="center" vertical="center" textRotation="255"/>
    </xf>
    <xf numFmtId="0" fontId="95" fillId="0" borderId="78" xfId="1" applyFont="1" applyBorder="1" applyAlignment="1">
      <alignment horizontal="center" vertical="center"/>
    </xf>
    <xf numFmtId="0" fontId="96" fillId="0" borderId="10" xfId="1" applyFont="1" applyBorder="1" applyAlignment="1">
      <alignment horizontal="center" vertical="center"/>
    </xf>
    <xf numFmtId="0" fontId="75" fillId="0" borderId="19" xfId="1" applyFont="1" applyBorder="1"/>
    <xf numFmtId="0" fontId="2" fillId="0" borderId="40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top"/>
    </xf>
    <xf numFmtId="0" fontId="58" fillId="0" borderId="0" xfId="1" applyFont="1" applyAlignment="1">
      <alignment horizontal="center" vertical="center" wrapText="1"/>
    </xf>
    <xf numFmtId="0" fontId="60" fillId="0" borderId="16" xfId="1" applyFont="1" applyBorder="1" applyAlignment="1">
      <alignment horizontal="center" vertical="center"/>
    </xf>
    <xf numFmtId="0" fontId="60" fillId="0" borderId="10" xfId="1" applyFont="1" applyBorder="1" applyAlignment="1">
      <alignment vertical="center"/>
    </xf>
    <xf numFmtId="0" fontId="60" fillId="0" borderId="16" xfId="1" applyFont="1" applyBorder="1" applyAlignment="1">
      <alignment horizontal="center"/>
    </xf>
    <xf numFmtId="0" fontId="61" fillId="0" borderId="86" xfId="1" applyFont="1" applyBorder="1" applyAlignment="1">
      <alignment horizontal="center" vertical="center"/>
    </xf>
    <xf numFmtId="0" fontId="12" fillId="0" borderId="76" xfId="1" applyFont="1" applyBorder="1"/>
    <xf numFmtId="0" fontId="60" fillId="0" borderId="60" xfId="1" applyFont="1" applyBorder="1" applyAlignment="1">
      <alignment horizontal="center"/>
    </xf>
    <xf numFmtId="0" fontId="12" fillId="0" borderId="30" xfId="1" applyFont="1" applyBorder="1"/>
    <xf numFmtId="0" fontId="60" fillId="0" borderId="93" xfId="1" applyFont="1" applyBorder="1" applyAlignment="1">
      <alignment horizontal="center"/>
    </xf>
    <xf numFmtId="2" fontId="110" fillId="0" borderId="90" xfId="1" quotePrefix="1" applyNumberFormat="1" applyFont="1" applyBorder="1" applyAlignment="1">
      <alignment horizontal="center" vertical="center"/>
    </xf>
    <xf numFmtId="2" fontId="110" fillId="0" borderId="90" xfId="1" applyNumberFormat="1" applyFont="1" applyBorder="1" applyAlignment="1">
      <alignment horizontal="center" vertical="center"/>
    </xf>
    <xf numFmtId="0" fontId="12" fillId="0" borderId="87" xfId="1" applyFont="1" applyBorder="1"/>
    <xf numFmtId="0" fontId="61" fillId="0" borderId="86" xfId="1" applyFont="1" applyBorder="1" applyAlignment="1">
      <alignment horizontal="center" vertical="center" textRotation="255"/>
    </xf>
    <xf numFmtId="0" fontId="96" fillId="0" borderId="60" xfId="1" applyFont="1" applyBorder="1" applyAlignment="1">
      <alignment horizontal="center"/>
    </xf>
    <xf numFmtId="0" fontId="75" fillId="0" borderId="30" xfId="1" applyFont="1" applyBorder="1"/>
    <xf numFmtId="2" fontId="60" fillId="0" borderId="60" xfId="1" applyNumberFormat="1" applyFont="1" applyBorder="1" applyAlignment="1">
      <alignment horizontal="center" vertical="center"/>
    </xf>
    <xf numFmtId="0" fontId="61" fillId="0" borderId="43" xfId="1" applyFont="1" applyBorder="1" applyAlignment="1">
      <alignment horizontal="center" vertical="center"/>
    </xf>
    <xf numFmtId="0" fontId="12" fillId="0" borderId="45" xfId="1" applyFont="1" applyBorder="1"/>
    <xf numFmtId="0" fontId="12" fillId="0" borderId="47" xfId="1" applyFont="1" applyBorder="1"/>
    <xf numFmtId="0" fontId="12" fillId="0" borderId="49" xfId="1" applyFont="1" applyBorder="1"/>
    <xf numFmtId="0" fontId="60" fillId="6" borderId="23" xfId="1" applyFont="1" applyFill="1" applyBorder="1" applyAlignment="1">
      <alignment horizontal="center"/>
    </xf>
    <xf numFmtId="0" fontId="12" fillId="0" borderId="75" xfId="1" applyFont="1" applyBorder="1"/>
    <xf numFmtId="0" fontId="12" fillId="0" borderId="74" xfId="1" applyFont="1" applyBorder="1"/>
    <xf numFmtId="0" fontId="60" fillId="6" borderId="52" xfId="1" applyFont="1" applyFill="1" applyBorder="1" applyAlignment="1">
      <alignment horizontal="center"/>
    </xf>
    <xf numFmtId="0" fontId="12" fillId="0" borderId="12" xfId="1" applyFont="1" applyBorder="1"/>
    <xf numFmtId="0" fontId="12" fillId="0" borderId="85" xfId="1" applyFont="1" applyBorder="1"/>
    <xf numFmtId="0" fontId="60" fillId="0" borderId="86" xfId="1" applyFont="1" applyBorder="1" applyAlignment="1">
      <alignment horizontal="center" vertical="center"/>
    </xf>
    <xf numFmtId="0" fontId="60" fillId="0" borderId="87" xfId="1" applyFont="1" applyBorder="1" applyAlignment="1">
      <alignment horizontal="center" vertical="center"/>
    </xf>
    <xf numFmtId="0" fontId="58" fillId="0" borderId="3" xfId="1" applyFont="1" applyBorder="1" applyAlignment="1">
      <alignment horizontal="left" wrapText="1"/>
    </xf>
    <xf numFmtId="0" fontId="104" fillId="0" borderId="23" xfId="1" applyFont="1" applyBorder="1" applyAlignment="1">
      <alignment horizontal="center" vertical="center"/>
    </xf>
    <xf numFmtId="0" fontId="105" fillId="6" borderId="23" xfId="1" applyFont="1" applyFill="1" applyBorder="1" applyAlignment="1">
      <alignment horizontal="center"/>
    </xf>
    <xf numFmtId="0" fontId="106" fillId="0" borderId="23" xfId="1" applyFont="1" applyBorder="1" applyAlignment="1">
      <alignment horizontal="left"/>
    </xf>
    <xf numFmtId="0" fontId="2" fillId="0" borderId="0" xfId="1" applyFont="1" applyAlignment="1">
      <alignment horizontal="left" vertical="top"/>
    </xf>
    <xf numFmtId="0" fontId="2" fillId="0" borderId="16" xfId="1" applyFont="1" applyBorder="1" applyAlignment="1">
      <alignment horizontal="center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/>
    </xf>
    <xf numFmtId="0" fontId="24" fillId="0" borderId="0" xfId="1" applyFont="1" applyAlignment="1">
      <alignment horizontal="center" wrapText="1"/>
    </xf>
    <xf numFmtId="0" fontId="25" fillId="3" borderId="16" xfId="1" applyFont="1" applyFill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73" fillId="0" borderId="80" xfId="0" quotePrefix="1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1" fillId="4" borderId="23" xfId="0" applyFont="1" applyFill="1" applyBorder="1" applyAlignment="1">
      <alignment horizontal="center" vertical="center" wrapText="1"/>
    </xf>
    <xf numFmtId="0" fontId="48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102" fillId="0" borderId="0" xfId="1" applyAlignment="1">
      <alignment horizontal="center"/>
    </xf>
    <xf numFmtId="0" fontId="51" fillId="4" borderId="23" xfId="1" applyFont="1" applyFill="1" applyBorder="1" applyAlignment="1">
      <alignment horizontal="center" vertical="center" wrapText="1"/>
    </xf>
    <xf numFmtId="0" fontId="73" fillId="0" borderId="80" xfId="1" quotePrefix="1" applyFont="1" applyBorder="1" applyAlignment="1">
      <alignment horizontal="center" vertical="center"/>
    </xf>
    <xf numFmtId="0" fontId="73" fillId="0" borderId="80" xfId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2" xfId="1" applyFont="1" applyBorder="1" applyAlignment="1">
      <alignment horizontal="center"/>
    </xf>
    <xf numFmtId="0" fontId="12" fillId="0" borderId="51" xfId="0" applyFont="1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4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74" fillId="0" borderId="3" xfId="0" applyFont="1" applyBorder="1" applyAlignment="1">
      <alignment horizontal="center" vertical="center"/>
    </xf>
    <xf numFmtId="0" fontId="7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74" fillId="0" borderId="51" xfId="0" applyFont="1" applyBorder="1" applyAlignment="1">
      <alignment horizontal="center" vertical="center"/>
    </xf>
    <xf numFmtId="0" fontId="28" fillId="0" borderId="70" xfId="0" applyFont="1" applyBorder="1" applyAlignment="1">
      <alignment horizontal="center" vertical="center"/>
    </xf>
    <xf numFmtId="0" fontId="12" fillId="0" borderId="71" xfId="0" applyFont="1" applyBorder="1"/>
    <xf numFmtId="0" fontId="12" fillId="0" borderId="72" xfId="0" applyFont="1" applyBorder="1"/>
    <xf numFmtId="0" fontId="11" fillId="0" borderId="37" xfId="0" applyFont="1" applyBorder="1" applyAlignment="1">
      <alignment horizontal="center"/>
    </xf>
    <xf numFmtId="0" fontId="14" fillId="0" borderId="48" xfId="0" applyFont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68" xfId="0" applyFont="1" applyFill="1" applyBorder="1" applyAlignment="1">
      <alignment horizontal="center" vertical="center"/>
    </xf>
    <xf numFmtId="0" fontId="12" fillId="0" borderId="31" xfId="0" applyFont="1" applyBorder="1"/>
    <xf numFmtId="0" fontId="14" fillId="0" borderId="0" xfId="0" applyFont="1" applyAlignment="1">
      <alignment horizontal="left" vertical="top"/>
    </xf>
    <xf numFmtId="0" fontId="53" fillId="0" borderId="0" xfId="0" applyFont="1" applyAlignment="1">
      <alignment horizontal="center"/>
    </xf>
    <xf numFmtId="0" fontId="29" fillId="0" borderId="0" xfId="0" applyFont="1"/>
    <xf numFmtId="0" fontId="72" fillId="0" borderId="0" xfId="0" applyFont="1"/>
    <xf numFmtId="0" fontId="54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5" fillId="0" borderId="0" xfId="0" applyFont="1" applyAlignment="1">
      <alignment horizontal="center"/>
    </xf>
  </cellXfs>
  <cellStyles count="2">
    <cellStyle name="Normal" xfId="0" builtinId="0"/>
    <cellStyle name="Normal 2" xfId="1" xr:uid="{CA7963FA-B7E4-4448-BC13-B1CF00AEF3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55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59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56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4</xdr:row>
      <xdr:rowOff>89535</xdr:rowOff>
    </xdr:from>
    <xdr:ext cx="4981575" cy="1714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09600" y="737235"/>
          <a:ext cx="4981575" cy="1714500"/>
          <a:chOff x="2855213" y="2922750"/>
          <a:chExt cx="4981575" cy="1714500"/>
        </a:xfrm>
      </xdr:grpSpPr>
      <xdr:grpSp>
        <xdr:nvGrpSpPr>
          <xdr:cNvPr id="3" name="Shape 3" title="Gambar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2855213" y="2922750"/>
            <a:ext cx="4981575" cy="1714500"/>
            <a:chOff x="2855213" y="2922750"/>
            <a:chExt cx="4981575" cy="1713867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2855213" y="2922750"/>
              <a:ext cx="4981575" cy="171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2855213" y="2922750"/>
              <a:ext cx="4981575" cy="1713867"/>
              <a:chOff x="141" y="1575"/>
              <a:chExt cx="6393" cy="2709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" y="1575"/>
                <a:ext cx="6375" cy="2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pic>
            <xdr:nvPic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2289" y="1575"/>
                <a:ext cx="4245" cy="270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1632" y="1575"/>
                <a:ext cx="731" cy="270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983" y="1575"/>
                <a:ext cx="731" cy="270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353" y="1575"/>
                <a:ext cx="731" cy="270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2">
                <a:alphaModFix/>
              </a:blip>
              <a:srcRect/>
              <a:stretch/>
            </xdr:blipFill>
            <xdr:spPr>
              <a:xfrm>
                <a:off x="141" y="1575"/>
                <a:ext cx="728" cy="2709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2</xdr:col>
      <xdr:colOff>57150</xdr:colOff>
      <xdr:row>20</xdr:row>
      <xdr:rowOff>74295</xdr:rowOff>
    </xdr:from>
    <xdr:ext cx="2943225" cy="1038225"/>
    <xdr:pic>
      <xdr:nvPicPr>
        <xdr:cNvPr id="12" name="image1.png" title="Gambar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99210" y="3472815"/>
          <a:ext cx="294322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137160</xdr:colOff>
      <xdr:row>40</xdr:row>
      <xdr:rowOff>38100</xdr:rowOff>
    </xdr:from>
    <xdr:ext cx="1348739" cy="622935"/>
    <xdr:pic>
      <xdr:nvPicPr>
        <xdr:cNvPr id="13" name="image9.png" title="Image">
          <a:extLst>
            <a:ext uri="{FF2B5EF4-FFF2-40B4-BE49-F238E27FC236}">
              <a16:creationId xmlns:a16="http://schemas.microsoft.com/office/drawing/2014/main" id="{1DE1CDD2-2150-4184-A4A2-4A9F9D35962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96440" y="7940040"/>
          <a:ext cx="1348739" cy="62293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219075" cy="2762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241225" y="3646650"/>
          <a:ext cx="2095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57150</xdr:rowOff>
    </xdr:from>
    <xdr:ext cx="219075" cy="4857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241225" y="3541875"/>
          <a:ext cx="20955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571500</xdr:colOff>
      <xdr:row>0</xdr:row>
      <xdr:rowOff>0</xdr:rowOff>
    </xdr:from>
    <xdr:ext cx="1466850" cy="4762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0</xdr:row>
      <xdr:rowOff>0</xdr:rowOff>
    </xdr:from>
    <xdr:ext cx="923925" cy="4000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219075" cy="2762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5241225" y="3646650"/>
          <a:ext cx="2095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428625</xdr:colOff>
      <xdr:row>0</xdr:row>
      <xdr:rowOff>0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0</xdr:row>
      <xdr:rowOff>-28575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0</xdr:row>
      <xdr:rowOff>0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1E760EF2-78EF-489E-95BB-8646D03259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87740" y="0"/>
          <a:ext cx="1362075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-9525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CFA53B3B-6D19-4BDA-B4E7-28A39CE6094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" y="-9525"/>
          <a:ext cx="981075" cy="4381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219075" cy="2762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241225" y="3646650"/>
          <a:ext cx="2095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20</xdr:row>
      <xdr:rowOff>57150</xdr:rowOff>
    </xdr:from>
    <xdr:ext cx="219075" cy="4857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241225" y="3541875"/>
          <a:ext cx="209550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0</xdr:row>
      <xdr:rowOff>9525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0</xdr:row>
      <xdr:rowOff>-9525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552450</xdr:colOff>
      <xdr:row>0</xdr:row>
      <xdr:rowOff>0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0</xdr:row>
      <xdr:rowOff>0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390525</xdr:colOff>
      <xdr:row>0</xdr:row>
      <xdr:rowOff>9525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0</xdr:row>
      <xdr:rowOff>0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9</xdr:row>
      <xdr:rowOff>19050</xdr:rowOff>
    </xdr:from>
    <xdr:ext cx="1476375" cy="3810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4612575" y="3594263"/>
          <a:ext cx="1466850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266700</xdr:colOff>
      <xdr:row>8</xdr:row>
      <xdr:rowOff>19050</xdr:rowOff>
    </xdr:from>
    <xdr:ext cx="1476375" cy="3810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4612575" y="3594263"/>
          <a:ext cx="1466850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266700</xdr:colOff>
      <xdr:row>13</xdr:row>
      <xdr:rowOff>19050</xdr:rowOff>
    </xdr:from>
    <xdr:ext cx="1476375" cy="3619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4612575" y="3603788"/>
          <a:ext cx="1466850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266700</xdr:colOff>
      <xdr:row>14</xdr:row>
      <xdr:rowOff>19050</xdr:rowOff>
    </xdr:from>
    <xdr:ext cx="1476375" cy="1809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4612575" y="3694275"/>
          <a:ext cx="146685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0</xdr:row>
      <xdr:rowOff>114300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66675</xdr:rowOff>
    </xdr:from>
    <xdr:ext cx="1076325" cy="4857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8125" y="66675"/>
          <a:ext cx="1076325" cy="4857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9</xdr:row>
      <xdr:rowOff>19050</xdr:rowOff>
    </xdr:from>
    <xdr:ext cx="1476375" cy="3810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4612575" y="3594263"/>
          <a:ext cx="1466850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266700</xdr:colOff>
      <xdr:row>8</xdr:row>
      <xdr:rowOff>19050</xdr:rowOff>
    </xdr:from>
    <xdr:ext cx="1476375" cy="3810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4612575" y="3594263"/>
          <a:ext cx="1466850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266700</xdr:colOff>
      <xdr:row>13</xdr:row>
      <xdr:rowOff>19050</xdr:rowOff>
    </xdr:from>
    <xdr:ext cx="1476375" cy="3619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612575" y="3603788"/>
          <a:ext cx="1466850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266700</xdr:colOff>
      <xdr:row>14</xdr:row>
      <xdr:rowOff>19050</xdr:rowOff>
    </xdr:from>
    <xdr:ext cx="1476375" cy="1809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4612575" y="3694275"/>
          <a:ext cx="146685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9525</xdr:colOff>
      <xdr:row>0</xdr:row>
      <xdr:rowOff>85725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0</xdr:row>
      <xdr:rowOff>66675</xdr:rowOff>
    </xdr:from>
    <xdr:ext cx="1076325" cy="4857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180975</xdr:colOff>
      <xdr:row>0</xdr:row>
      <xdr:rowOff>0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0</xdr:row>
      <xdr:rowOff>0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0</xdr:row>
      <xdr:rowOff>0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-9525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</xdr:row>
      <xdr:rowOff>0</xdr:rowOff>
    </xdr:from>
    <xdr:ext cx="219075" cy="2762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5241225" y="3646650"/>
          <a:ext cx="2095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190500</xdr:colOff>
      <xdr:row>0</xdr:row>
      <xdr:rowOff>171450</xdr:rowOff>
    </xdr:from>
    <xdr:ext cx="1362075" cy="4381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114300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291465</xdr:colOff>
      <xdr:row>0</xdr:row>
      <xdr:rowOff>24765</xdr:rowOff>
    </xdr:from>
    <xdr:ext cx="2009775" cy="6572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22305" y="24765"/>
          <a:ext cx="20097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0</xdr:row>
      <xdr:rowOff>0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</xdr:colOff>
      <xdr:row>0</xdr:row>
      <xdr:rowOff>57150</xdr:rowOff>
    </xdr:from>
    <xdr:ext cx="1647825" cy="552450"/>
    <xdr:pic>
      <xdr:nvPicPr>
        <xdr:cNvPr id="7" name="image5.png" title="Image">
          <a:extLst>
            <a:ext uri="{FF2B5EF4-FFF2-40B4-BE49-F238E27FC236}">
              <a16:creationId xmlns:a16="http://schemas.microsoft.com/office/drawing/2014/main" id="{EC09E2E7-813E-4DB8-96A5-92B92738F0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81525" y="57150"/>
          <a:ext cx="164782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-9525</xdr:rowOff>
    </xdr:from>
    <xdr:ext cx="981075" cy="438150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B747B9BF-DF21-46E1-AA8A-02644A98E49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" y="-9525"/>
          <a:ext cx="981075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408214</xdr:colOff>
      <xdr:row>4</xdr:row>
      <xdr:rowOff>56214</xdr:rowOff>
    </xdr:from>
    <xdr:to>
      <xdr:col>3</xdr:col>
      <xdr:colOff>526537</xdr:colOff>
      <xdr:row>7</xdr:row>
      <xdr:rowOff>124250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66F554C-B99F-0D82-C0D6-8B401C7E5D4D}"/>
            </a:ext>
          </a:extLst>
        </xdr:cNvPr>
        <xdr:cNvSpPr/>
      </xdr:nvSpPr>
      <xdr:spPr>
        <a:xfrm>
          <a:off x="2206723" y="1360725"/>
          <a:ext cx="1138859" cy="635986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108031</xdr:colOff>
      <xdr:row>6</xdr:row>
      <xdr:rowOff>113955</xdr:rowOff>
    </xdr:from>
    <xdr:to>
      <xdr:col>4</xdr:col>
      <xdr:colOff>1246890</xdr:colOff>
      <xdr:row>9</xdr:row>
      <xdr:rowOff>181990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39A034-3C2E-3BD4-9124-B4CA58E10057}"/>
            </a:ext>
          </a:extLst>
        </xdr:cNvPr>
        <xdr:cNvSpPr/>
      </xdr:nvSpPr>
      <xdr:spPr>
        <a:xfrm>
          <a:off x="3642930" y="1797099"/>
          <a:ext cx="1138859" cy="635986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412710</xdr:colOff>
      <xdr:row>8</xdr:row>
      <xdr:rowOff>176075</xdr:rowOff>
    </xdr:from>
    <xdr:to>
      <xdr:col>3</xdr:col>
      <xdr:colOff>531033</xdr:colOff>
      <xdr:row>12</xdr:row>
      <xdr:rowOff>54794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7A046EB-131A-AC49-AF0C-EFA677AFF146}"/>
            </a:ext>
          </a:extLst>
        </xdr:cNvPr>
        <xdr:cNvSpPr/>
      </xdr:nvSpPr>
      <xdr:spPr>
        <a:xfrm>
          <a:off x="2211219" y="2237853"/>
          <a:ext cx="1138859" cy="635986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1570856</xdr:colOff>
      <xdr:row>4</xdr:row>
      <xdr:rowOff>50414</xdr:rowOff>
    </xdr:from>
    <xdr:to>
      <xdr:col>6</xdr:col>
      <xdr:colOff>130274</xdr:colOff>
      <xdr:row>7</xdr:row>
      <xdr:rowOff>118450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BD3149E-3E28-C7A7-02FD-5A667DD0DF40}"/>
            </a:ext>
          </a:extLst>
        </xdr:cNvPr>
        <xdr:cNvSpPr/>
      </xdr:nvSpPr>
      <xdr:spPr>
        <a:xfrm>
          <a:off x="5105755" y="1354925"/>
          <a:ext cx="1138859" cy="635986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1563526</xdr:colOff>
      <xdr:row>8</xdr:row>
      <xdr:rowOff>179151</xdr:rowOff>
    </xdr:from>
    <xdr:to>
      <xdr:col>6</xdr:col>
      <xdr:colOff>122944</xdr:colOff>
      <xdr:row>12</xdr:row>
      <xdr:rowOff>57870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3D7E804-35C9-0776-C620-5D5E2D919D5E}"/>
            </a:ext>
          </a:extLst>
        </xdr:cNvPr>
        <xdr:cNvSpPr/>
      </xdr:nvSpPr>
      <xdr:spPr>
        <a:xfrm>
          <a:off x="5098425" y="2240929"/>
          <a:ext cx="1138859" cy="635986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340659</xdr:colOff>
      <xdr:row>0</xdr:row>
      <xdr:rowOff>119342</xdr:rowOff>
    </xdr:from>
    <xdr:ext cx="1914525" cy="64770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3EFB2688-F50F-42FE-AF1A-6DAFE4B6CE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13359" y="119342"/>
          <a:ext cx="191452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0</xdr:row>
      <xdr:rowOff>85725</xdr:rowOff>
    </xdr:from>
    <xdr:ext cx="1295400" cy="5810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6E28F273-ECA5-4C23-BCAE-7825D188D47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" y="85725"/>
          <a:ext cx="1295400" cy="58102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657745</xdr:colOff>
      <xdr:row>0</xdr:row>
      <xdr:rowOff>95250</xdr:rowOff>
    </xdr:from>
    <xdr:ext cx="4876800" cy="163830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48472" y="95250"/>
          <a:ext cx="4876800" cy="1638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0</xdr:row>
      <xdr:rowOff>47625</xdr:rowOff>
    </xdr:from>
    <xdr:ext cx="3448050" cy="15430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690619</xdr:colOff>
      <xdr:row>0</xdr:row>
      <xdr:rowOff>113179</xdr:rowOff>
    </xdr:from>
    <xdr:ext cx="1952625" cy="6572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D0D2B987-1B3C-4806-B26E-9FA3803A0C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11044" y="113179"/>
          <a:ext cx="19526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0</xdr:row>
      <xdr:rowOff>57150</xdr:rowOff>
    </xdr:from>
    <xdr:ext cx="1619250" cy="7334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10AE5197-9425-4348-833F-BB0C160C2D5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3850" y="57150"/>
          <a:ext cx="1619250" cy="73342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707651</xdr:colOff>
      <xdr:row>0</xdr:row>
      <xdr:rowOff>0</xdr:rowOff>
    </xdr:from>
    <xdr:ext cx="1828800" cy="61912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F4D8320-954F-430E-BDD9-3917B59BBD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70476" y="0"/>
          <a:ext cx="1828800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0</xdr:row>
      <xdr:rowOff>0</xdr:rowOff>
    </xdr:from>
    <xdr:ext cx="1371600" cy="6191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94A7DB48-47E0-4CFF-8573-88A6790E453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6700" y="0"/>
          <a:ext cx="1371600" cy="61912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704850</xdr:colOff>
      <xdr:row>0</xdr:row>
      <xdr:rowOff>0</xdr:rowOff>
    </xdr:from>
    <xdr:ext cx="1905000" cy="63817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885560EB-9FB5-4CBA-9C1C-A17F8A8B35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53750" y="0"/>
          <a:ext cx="19050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-9525</xdr:rowOff>
    </xdr:from>
    <xdr:ext cx="981075" cy="438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8E5436A2-5E40-4D23-916A-7F41942CDBD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" y="-9525"/>
          <a:ext cx="981075" cy="438150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342900</xdr:colOff>
      <xdr:row>0</xdr:row>
      <xdr:rowOff>114300</xdr:rowOff>
    </xdr:from>
    <xdr:ext cx="2362200" cy="790575"/>
    <xdr:pic>
      <xdr:nvPicPr>
        <xdr:cNvPr id="2" name="image10.jpg" title="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152400</xdr:rowOff>
    </xdr:from>
    <xdr:ext cx="1666875" cy="752475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DOC%20CW%20ATP%20SUBFEEDER%20DUSUN%20BOGO%20RW%2008%20FDT-2%20(1).xlsx" TargetMode="External"/><Relationship Id="rId1" Type="http://schemas.openxmlformats.org/officeDocument/2006/relationships/externalLinkPath" Target="/Users/Admin/Downloads/DOC%20CW%20ATP%20SUBFEEDER%20DUSUN%20BOGO%20RW%2008%20FDT-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port table"/>
      <sheetName val="ATP CW Cover"/>
      <sheetName val="FAT"/>
      <sheetName val="FDT"/>
      <sheetName val="Pole Erection 74"/>
      <sheetName val="Pole Erection 73"/>
      <sheetName val="Pole Erection 94"/>
      <sheetName val="Trenching"/>
      <sheetName val="Road and Railway"/>
      <sheetName val="Bridges Crossing"/>
      <sheetName val="Precast Handhole"/>
      <sheetName val="Handhole"/>
      <sheetName val="Boring Rojok Manual"/>
      <sheetName val="Building cable access"/>
      <sheetName val="Cable installation"/>
      <sheetName val="CW Punchpoint defect list"/>
      <sheetName val="BA RECTIFIKASI"/>
      <sheetName val="Cover CW OPM"/>
      <sheetName val="E2E OPM Subfeeder"/>
      <sheetName val="OTDR Summary 1310 "/>
      <sheetName val="OTDR Summary 1550"/>
      <sheetName val="OPM Punchpoint defect list"/>
      <sheetName val="BA RECTIFIKASI OPM"/>
      <sheetName val="BA LAPAN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J6" t="str">
            <v xml:space="preserve">: </v>
          </cell>
        </row>
      </sheetData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6257-6FFB-41AC-9A24-4D30E2D81D14}">
  <sheetPr codeName="Sheet1"/>
  <dimension ref="A1:B16"/>
  <sheetViews>
    <sheetView workbookViewId="0">
      <selection activeCell="A7" sqref="A7"/>
    </sheetView>
  </sheetViews>
  <sheetFormatPr defaultRowHeight="12.75"/>
  <cols>
    <col min="1" max="1" width="30.7109375" customWidth="1"/>
    <col min="2" max="2" width="45.7109375" customWidth="1"/>
  </cols>
  <sheetData>
    <row r="1" spans="1:2">
      <c r="A1" s="276" t="s">
        <v>472</v>
      </c>
      <c r="B1" s="277" t="s">
        <v>473</v>
      </c>
    </row>
    <row r="2" spans="1:2">
      <c r="A2" s="276" t="s">
        <v>1</v>
      </c>
      <c r="B2" s="277" t="s">
        <v>474</v>
      </c>
    </row>
    <row r="3" spans="1:2">
      <c r="A3" s="276" t="s">
        <v>475</v>
      </c>
      <c r="B3" s="277" t="s">
        <v>476</v>
      </c>
    </row>
    <row r="4" spans="1:2">
      <c r="A4" s="276" t="s">
        <v>477</v>
      </c>
      <c r="B4" s="277" t="s">
        <v>478</v>
      </c>
    </row>
    <row r="5" spans="1:2">
      <c r="A5" s="276" t="s">
        <v>0</v>
      </c>
      <c r="B5" s="277" t="s">
        <v>479</v>
      </c>
    </row>
    <row r="6" spans="1:2">
      <c r="A6" s="276" t="s">
        <v>2</v>
      </c>
      <c r="B6" s="277" t="s">
        <v>480</v>
      </c>
    </row>
    <row r="7" spans="1:2">
      <c r="A7" s="276" t="s">
        <v>481</v>
      </c>
      <c r="B7" s="277" t="s">
        <v>482</v>
      </c>
    </row>
    <row r="8" spans="1:2">
      <c r="A8" s="276" t="s">
        <v>483</v>
      </c>
      <c r="B8" s="277" t="s">
        <v>484</v>
      </c>
    </row>
    <row r="9" spans="1:2">
      <c r="A9" s="276" t="s">
        <v>485</v>
      </c>
      <c r="B9" s="277" t="s">
        <v>486</v>
      </c>
    </row>
    <row r="10" spans="1:2">
      <c r="A10" s="276" t="s">
        <v>487</v>
      </c>
      <c r="B10" s="277" t="s">
        <v>488</v>
      </c>
    </row>
    <row r="11" spans="1:2">
      <c r="A11" s="276" t="s">
        <v>489</v>
      </c>
      <c r="B11" s="277" t="s">
        <v>490</v>
      </c>
    </row>
    <row r="12" spans="1:2">
      <c r="A12" s="276" t="s">
        <v>491</v>
      </c>
      <c r="B12" s="277" t="s">
        <v>492</v>
      </c>
    </row>
    <row r="13" spans="1:2">
      <c r="A13" s="276" t="s">
        <v>493</v>
      </c>
      <c r="B13" s="277" t="s">
        <v>494</v>
      </c>
    </row>
    <row r="14" spans="1:2">
      <c r="A14" s="276" t="s">
        <v>495</v>
      </c>
      <c r="B14" s="277" t="s">
        <v>496</v>
      </c>
    </row>
    <row r="15" spans="1:2">
      <c r="A15" s="276" t="s">
        <v>508</v>
      </c>
      <c r="B15" s="372" t="s">
        <v>509</v>
      </c>
    </row>
    <row r="16" spans="1:2">
      <c r="A16" s="276" t="s">
        <v>497</v>
      </c>
      <c r="B16" s="277" t="s">
        <v>498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O998"/>
  <sheetViews>
    <sheetView showGridLines="0" topLeftCell="A19" workbookViewId="0">
      <selection activeCell="A22" sqref="A22"/>
    </sheetView>
  </sheetViews>
  <sheetFormatPr defaultColWidth="12.7109375" defaultRowHeight="15" customHeight="1"/>
  <cols>
    <col min="1" max="1" width="9" customWidth="1"/>
    <col min="2" max="2" width="9.140625" customWidth="1"/>
    <col min="3" max="4" width="9" customWidth="1"/>
    <col min="5" max="5" width="8" hidden="1" customWidth="1"/>
    <col min="6" max="6" width="9" customWidth="1"/>
    <col min="7" max="7" width="11.7109375" customWidth="1"/>
    <col min="8" max="8" width="9" customWidth="1"/>
    <col min="9" max="9" width="13.140625" customWidth="1"/>
    <col min="10" max="15" width="7" customWidth="1"/>
  </cols>
  <sheetData>
    <row r="1" spans="1:15" ht="12.75" customHeight="1"/>
    <row r="2" spans="1:15" ht="12.75" customHeight="1"/>
    <row r="3" spans="1:15" ht="12.75" customHeight="1">
      <c r="A3" s="1"/>
      <c r="B3" s="1"/>
      <c r="C3" s="1"/>
      <c r="D3" s="1"/>
      <c r="E3" s="1"/>
      <c r="F3" s="1"/>
      <c r="G3" s="1"/>
      <c r="H3" s="1"/>
      <c r="I3" s="1"/>
    </row>
    <row r="4" spans="1:15" ht="12.75" customHeight="1">
      <c r="A4" s="1"/>
      <c r="B4" s="1"/>
      <c r="C4" s="1"/>
      <c r="D4" s="1"/>
      <c r="E4" s="1"/>
      <c r="F4" s="1"/>
      <c r="G4" s="1"/>
      <c r="H4" s="1"/>
      <c r="I4" s="1"/>
    </row>
    <row r="5" spans="1:15" ht="12.75" customHeight="1">
      <c r="A5" s="1"/>
      <c r="B5" s="1"/>
      <c r="C5" s="1"/>
      <c r="D5" s="1"/>
      <c r="E5" s="1"/>
      <c r="F5" s="1"/>
      <c r="G5" s="1"/>
      <c r="H5" s="1"/>
      <c r="I5" s="1"/>
    </row>
    <row r="6" spans="1:15" ht="12.75" customHeight="1">
      <c r="A6" s="1"/>
      <c r="B6" s="1"/>
      <c r="C6" s="1"/>
      <c r="D6" s="1"/>
      <c r="E6" s="1"/>
      <c r="F6" s="1"/>
      <c r="G6" s="1"/>
      <c r="H6" s="1"/>
      <c r="I6" s="1"/>
    </row>
    <row r="7" spans="1:15" ht="12.75" customHeight="1">
      <c r="A7" s="1"/>
      <c r="B7" s="1"/>
      <c r="C7" s="1"/>
      <c r="D7" s="1"/>
      <c r="E7" s="1"/>
      <c r="F7" s="1"/>
      <c r="G7" s="1"/>
      <c r="H7" s="1"/>
      <c r="I7" s="1"/>
    </row>
    <row r="8" spans="1:15" ht="12.75" customHeight="1">
      <c r="A8" s="1"/>
      <c r="B8" s="1"/>
      <c r="C8" s="1"/>
      <c r="D8" s="1"/>
      <c r="E8" s="1"/>
      <c r="F8" s="1"/>
      <c r="G8" s="1"/>
      <c r="H8" s="1"/>
      <c r="I8" s="1"/>
    </row>
    <row r="9" spans="1:15" ht="12.75" customHeight="1">
      <c r="A9" s="1"/>
      <c r="B9" s="1"/>
      <c r="C9" s="1"/>
      <c r="D9" s="1"/>
      <c r="E9" s="1"/>
      <c r="F9" s="1"/>
      <c r="G9" s="1"/>
      <c r="H9" s="1"/>
      <c r="I9" s="1"/>
    </row>
    <row r="10" spans="1:15" ht="12.75" customHeight="1">
      <c r="A10" s="1"/>
      <c r="B10" s="1"/>
      <c r="C10" s="1"/>
      <c r="D10" s="1"/>
      <c r="E10" s="1"/>
      <c r="F10" s="1"/>
      <c r="G10" s="1"/>
      <c r="H10" s="1"/>
      <c r="I10" s="1"/>
      <c r="O10" s="1"/>
    </row>
    <row r="11" spans="1:15" ht="12.75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15" ht="12.7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15" ht="12.7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15" ht="12.7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15" ht="12.75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15" ht="12.7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12.75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12.7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23.25" customHeight="1">
      <c r="A19" s="453" t="s">
        <v>4</v>
      </c>
      <c r="B19" s="444"/>
      <c r="C19" s="444"/>
      <c r="D19" s="444"/>
      <c r="E19" s="444"/>
      <c r="F19" s="444"/>
      <c r="G19" s="444"/>
      <c r="H19" s="444"/>
      <c r="I19" s="444"/>
    </row>
    <row r="20" spans="1:9" ht="18" customHeight="1">
      <c r="A20" s="454" t="s">
        <v>5</v>
      </c>
      <c r="B20" s="444"/>
      <c r="C20" s="444"/>
      <c r="D20" s="444"/>
      <c r="E20" s="444"/>
      <c r="F20" s="444"/>
      <c r="G20" s="444"/>
      <c r="H20" s="444"/>
      <c r="I20" s="444"/>
    </row>
    <row r="21" spans="1:9" ht="23.25" customHeight="1">
      <c r="A21" s="455" t="str">
        <f>'support table'!$B$1</f>
        <v>[NAMA_PROYEK]</v>
      </c>
      <c r="B21" s="444"/>
      <c r="C21" s="444"/>
      <c r="D21" s="444"/>
      <c r="E21" s="444"/>
      <c r="F21" s="444"/>
      <c r="G21" s="444"/>
      <c r="H21" s="444"/>
      <c r="I21" s="444"/>
    </row>
    <row r="22" spans="1:9" ht="12.7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12.75" customHeight="1">
      <c r="A23" s="456"/>
      <c r="B23" s="444"/>
      <c r="C23" s="444"/>
      <c r="D23" s="444"/>
      <c r="E23" s="444"/>
      <c r="F23" s="444"/>
      <c r="G23" s="444"/>
      <c r="H23" s="444"/>
      <c r="I23" s="444"/>
    </row>
    <row r="24" spans="1:9" ht="12.75" customHeight="1">
      <c r="A24" s="456"/>
      <c r="B24" s="444"/>
      <c r="C24" s="444"/>
      <c r="D24" s="444"/>
      <c r="E24" s="444"/>
      <c r="F24" s="444"/>
      <c r="G24" s="444"/>
      <c r="H24" s="444"/>
      <c r="I24" s="444"/>
    </row>
    <row r="25" spans="1:9" ht="12.7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12.75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s="260" customFormat="1" ht="27" customHeight="1">
      <c r="A27" s="446" t="str">
        <f>'support table'!$B$12</f>
        <v>[NAMA_PT_CUSTOMER]</v>
      </c>
      <c r="B27" s="447"/>
      <c r="C27" s="447"/>
      <c r="D27" s="447"/>
      <c r="E27" s="447"/>
      <c r="F27" s="447"/>
      <c r="G27" s="447"/>
      <c r="H27" s="447"/>
      <c r="I27" s="447"/>
    </row>
    <row r="28" spans="1:9" ht="12.75" customHeight="1">
      <c r="A28" s="1"/>
      <c r="C28" s="2"/>
      <c r="D28" s="2"/>
      <c r="E28" s="2"/>
      <c r="F28" s="2"/>
      <c r="G28" s="2"/>
      <c r="H28" s="1"/>
      <c r="I28" s="1"/>
    </row>
    <row r="29" spans="1:9" ht="12.75" customHeight="1">
      <c r="A29" s="1"/>
      <c r="B29" s="2"/>
      <c r="C29" s="2"/>
      <c r="D29" s="2"/>
      <c r="E29" s="2"/>
      <c r="F29" s="2"/>
      <c r="G29" s="2"/>
      <c r="H29" s="1"/>
      <c r="I29" s="1"/>
    </row>
    <row r="30" spans="1:9" ht="12.75" customHeight="1">
      <c r="A30" s="1"/>
      <c r="B30" s="2"/>
      <c r="C30" s="2"/>
      <c r="D30" s="3" t="s">
        <v>6</v>
      </c>
      <c r="E30" s="2"/>
      <c r="F30" s="445" t="str">
        <f>'support table'!$B$3</f>
        <v>[NAMA_LOKASI]</v>
      </c>
      <c r="G30" s="445"/>
      <c r="H30" s="445"/>
      <c r="I30" s="445"/>
    </row>
    <row r="31" spans="1:9" ht="12.6" customHeight="1">
      <c r="A31" s="1"/>
      <c r="B31" s="2"/>
      <c r="C31" s="2"/>
      <c r="D31" s="2"/>
      <c r="E31" s="2"/>
      <c r="F31" s="445"/>
      <c r="G31" s="445"/>
      <c r="H31" s="445"/>
      <c r="I31" s="445"/>
    </row>
    <row r="32" spans="1:9" s="254" customFormat="1" ht="20.25" customHeight="1">
      <c r="A32" s="448" t="str">
        <f>"Document Prepared by " &amp; 'support table'!$B$9</f>
        <v>Document Prepared by [NAMA_PT_VENDOR]</v>
      </c>
      <c r="B32" s="449"/>
      <c r="C32" s="449"/>
      <c r="D32" s="449"/>
      <c r="E32" s="449"/>
      <c r="F32" s="449"/>
      <c r="G32" s="449"/>
      <c r="H32" s="449"/>
      <c r="I32" s="449"/>
    </row>
    <row r="33" spans="1:9" ht="12.75" customHeight="1">
      <c r="A33" s="1"/>
      <c r="B33" s="1"/>
      <c r="C33" s="1"/>
      <c r="D33" s="1"/>
      <c r="E33" s="1"/>
      <c r="F33" s="1"/>
      <c r="G33" s="1"/>
      <c r="H33" s="1"/>
      <c r="I33" s="1"/>
    </row>
    <row r="34" spans="1:9" s="239" customFormat="1" ht="32.450000000000003" customHeight="1">
      <c r="A34" s="450" t="str">
        <f>"Vendor Representation : " &amp; 'support table'!$B$10</f>
        <v>Vendor Representation : [REP_VENDOR]</v>
      </c>
      <c r="B34" s="451"/>
      <c r="C34" s="451"/>
      <c r="D34" s="451"/>
      <c r="E34" s="451"/>
      <c r="F34" s="451"/>
      <c r="G34" s="451"/>
      <c r="H34" s="451"/>
      <c r="I34" s="451"/>
    </row>
    <row r="35" spans="1:9" s="239" customFormat="1" ht="25.15" customHeight="1">
      <c r="A35" s="259"/>
      <c r="B35" s="259"/>
      <c r="C35" s="259"/>
      <c r="D35" s="259"/>
      <c r="E35" s="259"/>
      <c r="F35" s="259"/>
      <c r="G35" s="259"/>
      <c r="H35" s="259"/>
      <c r="I35" s="259"/>
    </row>
    <row r="36" spans="1:9" s="239" customFormat="1" ht="37.15" customHeight="1">
      <c r="A36" s="452" t="str">
        <f>"EMR Representation : " &amp; 'support table'!$B$13</f>
        <v>EMR Representation : [REP_CUSTOMER]</v>
      </c>
      <c r="B36" s="451"/>
      <c r="C36" s="451"/>
      <c r="D36" s="451"/>
      <c r="E36" s="451"/>
      <c r="F36" s="451"/>
      <c r="G36" s="451"/>
      <c r="H36" s="451"/>
      <c r="I36" s="451"/>
    </row>
    <row r="37" spans="1:9" ht="12.75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12.75" customHeight="1">
      <c r="A38" s="1"/>
      <c r="B38" s="1"/>
      <c r="C38" s="1"/>
      <c r="D38" s="1"/>
      <c r="E38" s="5" t="s">
        <v>7</v>
      </c>
      <c r="F38" s="1"/>
      <c r="G38" s="1"/>
      <c r="H38" s="1"/>
      <c r="I38" s="1"/>
    </row>
    <row r="39" spans="1:9" ht="12.75" customHeight="1">
      <c r="A39" s="1"/>
      <c r="B39" s="1"/>
      <c r="C39" s="1"/>
      <c r="D39" s="1"/>
      <c r="E39" s="1"/>
      <c r="F39" s="1"/>
      <c r="G39" s="1"/>
      <c r="H39" s="1"/>
      <c r="I39" s="1"/>
    </row>
    <row r="40" spans="1:9" ht="12.75" customHeight="1">
      <c r="A40" s="1"/>
      <c r="B40" s="1"/>
      <c r="C40" s="1"/>
      <c r="D40" s="1"/>
      <c r="E40" s="1"/>
      <c r="F40" s="1"/>
      <c r="G40" s="1"/>
      <c r="H40" s="1"/>
      <c r="I40" s="1"/>
    </row>
    <row r="41" spans="1:9" ht="18">
      <c r="A41" s="442"/>
      <c r="B41" s="444"/>
      <c r="C41" s="444"/>
      <c r="D41" s="444"/>
      <c r="E41" s="444"/>
      <c r="F41" s="444"/>
      <c r="G41" s="444"/>
      <c r="H41" s="444"/>
      <c r="I41" s="444"/>
    </row>
    <row r="42" spans="1:9" ht="12.75" customHeight="1">
      <c r="A42" s="1"/>
      <c r="B42" s="1"/>
      <c r="C42" s="1"/>
      <c r="D42" s="1"/>
      <c r="E42" s="1"/>
      <c r="F42" s="1"/>
      <c r="G42" s="1"/>
      <c r="H42" s="1"/>
      <c r="I42" s="1"/>
    </row>
    <row r="43" spans="1:9" ht="12.7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9" ht="12.75" customHeight="1">
      <c r="A44" s="443"/>
      <c r="B44" s="444"/>
      <c r="C44" s="444"/>
      <c r="D44" s="444"/>
      <c r="E44" s="444"/>
      <c r="F44" s="444"/>
      <c r="G44" s="444"/>
      <c r="H44" s="444"/>
      <c r="I44" s="444"/>
    </row>
    <row r="45" spans="1:9" ht="12.75" customHeight="1">
      <c r="A45" s="1"/>
      <c r="B45" s="1"/>
      <c r="C45" s="1"/>
      <c r="D45" s="1"/>
      <c r="E45" s="1"/>
      <c r="F45" s="1"/>
      <c r="G45" s="1"/>
      <c r="H45" s="1"/>
      <c r="I45" s="1"/>
    </row>
    <row r="46" spans="1:9" ht="12.75" customHeight="1">
      <c r="A46" s="443" t="str">
        <f>'support table'!$B$9</f>
        <v>[NAMA_PT_VENDOR]</v>
      </c>
      <c r="B46" s="444"/>
      <c r="C46" s="444"/>
      <c r="D46" s="444"/>
      <c r="E46" s="444"/>
      <c r="F46" s="444"/>
      <c r="G46" s="444"/>
      <c r="H46" s="444"/>
      <c r="I46" s="444"/>
    </row>
    <row r="47" spans="1:9" ht="12.75" customHeight="1">
      <c r="A47" s="1"/>
      <c r="B47" s="1"/>
      <c r="C47" s="1"/>
      <c r="D47" s="1"/>
      <c r="E47" s="1"/>
      <c r="F47" s="1"/>
      <c r="G47" s="1"/>
      <c r="H47" s="1"/>
      <c r="I47" s="1"/>
    </row>
    <row r="48" spans="1:9" ht="12.75" customHeight="1">
      <c r="A48" s="442">
        <v>2026</v>
      </c>
      <c r="B48" s="442"/>
      <c r="C48" s="442"/>
      <c r="D48" s="442"/>
      <c r="E48" s="442"/>
      <c r="F48" s="442"/>
      <c r="G48" s="442"/>
      <c r="H48" s="442"/>
      <c r="I48" s="442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4">
    <mergeCell ref="A19:I19"/>
    <mergeCell ref="A20:I20"/>
    <mergeCell ref="A21:I21"/>
    <mergeCell ref="A23:I23"/>
    <mergeCell ref="A24:I24"/>
    <mergeCell ref="A48:I48"/>
    <mergeCell ref="A44:I44"/>
    <mergeCell ref="A46:I46"/>
    <mergeCell ref="F30:I31"/>
    <mergeCell ref="A27:I27"/>
    <mergeCell ref="A32:I32"/>
    <mergeCell ref="A34:I34"/>
    <mergeCell ref="A36:I36"/>
    <mergeCell ref="A41:I41"/>
  </mergeCells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Z1000"/>
  <sheetViews>
    <sheetView showGridLines="0" topLeftCell="A24" workbookViewId="0">
      <selection activeCell="F24" sqref="F24"/>
    </sheetView>
  </sheetViews>
  <sheetFormatPr defaultColWidth="12.7109375" defaultRowHeight="15" customHeight="1"/>
  <cols>
    <col min="1" max="1" width="4.28515625" customWidth="1"/>
    <col min="2" max="2" width="14.28515625" customWidth="1"/>
    <col min="3" max="3" width="13.140625" customWidth="1"/>
    <col min="4" max="4" width="20" customWidth="1"/>
    <col min="5" max="5" width="14" customWidth="1"/>
    <col min="6" max="6" width="13.7109375" customWidth="1"/>
    <col min="7" max="7" width="20.28515625" customWidth="1"/>
    <col min="8" max="8" width="0.140625" customWidth="1"/>
    <col min="9" max="26" width="8" customWidth="1"/>
  </cols>
  <sheetData>
    <row r="1" spans="1:26" ht="20.25" customHeight="1">
      <c r="A1" s="482" t="s">
        <v>8</v>
      </c>
      <c r="B1" s="444"/>
      <c r="C1" s="444"/>
      <c r="D1" s="444"/>
      <c r="E1" s="444"/>
      <c r="F1" s="444"/>
      <c r="G1" s="44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483" t="s">
        <v>9</v>
      </c>
      <c r="B2" s="484"/>
      <c r="C2" s="484"/>
      <c r="D2" s="484"/>
      <c r="E2" s="484"/>
      <c r="F2" s="484"/>
      <c r="G2" s="48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7"/>
      <c r="B3" s="7"/>
      <c r="C3" s="7"/>
      <c r="D3" s="7"/>
      <c r="E3" s="7"/>
      <c r="F3" s="7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8.15" customHeight="1">
      <c r="A4" s="8"/>
      <c r="B4" s="8" t="s">
        <v>10</v>
      </c>
      <c r="C4" s="474" t="str">
        <f>'support table'!$B$2</f>
        <v>[REGION]</v>
      </c>
      <c r="D4" s="458"/>
      <c r="E4" s="8" t="s">
        <v>11</v>
      </c>
      <c r="F4" s="487" t="str">
        <f>'support table'!$B$3</f>
        <v>[NAMA_LOKASI]</v>
      </c>
      <c r="G4" s="45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"/>
      <c r="B5" s="8" t="s">
        <v>12</v>
      </c>
      <c r="C5" s="475" t="str">
        <f>'support table'!$B$7</f>
        <v>[ID_FDT_FROM]</v>
      </c>
      <c r="D5" s="460"/>
      <c r="E5" s="8" t="s">
        <v>13</v>
      </c>
      <c r="F5" s="256" t="str">
        <f>'support table'!$B$8</f>
        <v>[ID_FAT_TO]</v>
      </c>
      <c r="G5" s="278" t="s">
        <v>499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"/>
      <c r="B6" s="8" t="s">
        <v>14</v>
      </c>
      <c r="C6" s="488" t="str">
        <f>'support table'!$B$5</f>
        <v>[ALAMAT]</v>
      </c>
      <c r="D6" s="489"/>
      <c r="E6" s="8" t="s">
        <v>14</v>
      </c>
      <c r="F6" s="485" t="str">
        <f>'support table'!$B$5</f>
        <v>[ALAMAT]</v>
      </c>
      <c r="G6" s="48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4.75" customHeight="1">
      <c r="A7" s="10"/>
      <c r="B7" s="11"/>
      <c r="C7" s="11"/>
      <c r="D7" s="11"/>
      <c r="E7" s="3"/>
      <c r="F7" s="4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customHeight="1">
      <c r="A8" s="13" t="s">
        <v>15</v>
      </c>
      <c r="B8" s="14" t="s">
        <v>16</v>
      </c>
      <c r="C8" s="476" t="s">
        <v>17</v>
      </c>
      <c r="D8" s="464"/>
      <c r="E8" s="464"/>
      <c r="F8" s="477"/>
      <c r="G8" s="15" t="s">
        <v>18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8.5" customHeight="1">
      <c r="A9" s="478">
        <v>1</v>
      </c>
      <c r="B9" s="471" t="s">
        <v>19</v>
      </c>
      <c r="C9" s="479" t="s">
        <v>20</v>
      </c>
      <c r="D9" s="480"/>
      <c r="E9" s="480"/>
      <c r="F9" s="481"/>
      <c r="G9" s="17" t="s">
        <v>21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6.25" customHeight="1">
      <c r="A10" s="472"/>
      <c r="B10" s="472"/>
      <c r="C10" s="461" t="s">
        <v>22</v>
      </c>
      <c r="D10" s="460"/>
      <c r="E10" s="460"/>
      <c r="F10" s="462"/>
      <c r="G10" s="18" t="s">
        <v>23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1.5" customHeight="1">
      <c r="A11" s="473"/>
      <c r="B11" s="473"/>
      <c r="C11" s="461" t="s">
        <v>24</v>
      </c>
      <c r="D11" s="460"/>
      <c r="E11" s="460"/>
      <c r="F11" s="462"/>
      <c r="G11" s="18" t="s">
        <v>25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customHeight="1">
      <c r="A12" s="468">
        <v>2</v>
      </c>
      <c r="B12" s="471" t="s">
        <v>26</v>
      </c>
      <c r="C12" s="461" t="s">
        <v>27</v>
      </c>
      <c r="D12" s="460"/>
      <c r="E12" s="460"/>
      <c r="F12" s="462"/>
      <c r="G12" s="18" t="s">
        <v>28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customHeight="1">
      <c r="A13" s="469"/>
      <c r="B13" s="472"/>
      <c r="C13" s="461" t="s">
        <v>29</v>
      </c>
      <c r="D13" s="460"/>
      <c r="E13" s="460"/>
      <c r="F13" s="462"/>
      <c r="G13" s="18" t="s">
        <v>30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customHeight="1">
      <c r="A14" s="469"/>
      <c r="B14" s="472"/>
      <c r="C14" s="461" t="s">
        <v>31</v>
      </c>
      <c r="D14" s="460"/>
      <c r="E14" s="460"/>
      <c r="F14" s="462"/>
      <c r="G14" s="18" t="s">
        <v>32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>
      <c r="A15" s="469"/>
      <c r="B15" s="472"/>
      <c r="C15" s="461" t="s">
        <v>33</v>
      </c>
      <c r="D15" s="460"/>
      <c r="E15" s="460"/>
      <c r="F15" s="462"/>
      <c r="G15" s="18" t="s">
        <v>34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>
      <c r="A16" s="470"/>
      <c r="B16" s="473"/>
      <c r="C16" s="461" t="s">
        <v>35</v>
      </c>
      <c r="D16" s="460"/>
      <c r="E16" s="460"/>
      <c r="F16" s="462"/>
      <c r="G16" s="18" t="s">
        <v>36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>
      <c r="A17" s="468">
        <v>3</v>
      </c>
      <c r="B17" s="471" t="s">
        <v>37</v>
      </c>
      <c r="C17" s="461" t="s">
        <v>38</v>
      </c>
      <c r="D17" s="460"/>
      <c r="E17" s="460"/>
      <c r="F17" s="462"/>
      <c r="G17" s="18" t="s">
        <v>39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>
      <c r="A18" s="470"/>
      <c r="B18" s="473"/>
      <c r="C18" s="461" t="s">
        <v>40</v>
      </c>
      <c r="D18" s="460"/>
      <c r="E18" s="460"/>
      <c r="F18" s="462"/>
      <c r="G18" s="18" t="s">
        <v>41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7.75" customHeight="1">
      <c r="A19" s="468">
        <v>4</v>
      </c>
      <c r="B19" s="471" t="s">
        <v>42</v>
      </c>
      <c r="C19" s="461" t="s">
        <v>43</v>
      </c>
      <c r="D19" s="460"/>
      <c r="E19" s="460"/>
      <c r="F19" s="462"/>
      <c r="G19" s="18" t="s">
        <v>44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7.75" customHeight="1">
      <c r="A20" s="470"/>
      <c r="B20" s="473"/>
      <c r="C20" s="461" t="s">
        <v>45</v>
      </c>
      <c r="D20" s="460"/>
      <c r="E20" s="460"/>
      <c r="F20" s="462"/>
      <c r="G20" s="18" t="s">
        <v>46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6" customHeight="1">
      <c r="A21" s="463" t="str">
        <f>"Comments: " &amp; 'support table'!$B$7</f>
        <v>Comments: [ID_FDT_FROM]</v>
      </c>
      <c r="B21" s="464"/>
      <c r="C21" s="464"/>
      <c r="D21" s="464"/>
      <c r="E21" s="464"/>
      <c r="F21" s="464"/>
      <c r="G21" s="46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0.25" customHeight="1">
      <c r="A22" s="20" t="s">
        <v>47</v>
      </c>
      <c r="B22" s="21"/>
      <c r="C22" s="22"/>
      <c r="D22" s="6"/>
      <c r="E22" s="6"/>
      <c r="F22" s="23"/>
      <c r="G22" s="2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>
      <c r="A23" s="23" t="s">
        <v>48</v>
      </c>
      <c r="B23" s="23"/>
      <c r="C23" s="23"/>
      <c r="D23" s="23"/>
      <c r="E23" s="23"/>
      <c r="F23" s="23" t="s">
        <v>49</v>
      </c>
      <c r="G23" s="2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5.5" customHeight="1">
      <c r="A24" s="466" t="str">
        <f>"Name: " &amp; 'support table'!$B$10</f>
        <v>Name: [REP_VENDOR]</v>
      </c>
      <c r="B24" s="458"/>
      <c r="C24" s="458"/>
      <c r="D24" s="25"/>
      <c r="E24" s="2"/>
      <c r="F24" s="24" t="str">
        <f>"Name: " &amp; 'support table'!$B$13</f>
        <v>Name: [REP_CUSTOMER]</v>
      </c>
      <c r="G24" s="2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5.5" customHeight="1">
      <c r="A25" s="467" t="s">
        <v>51</v>
      </c>
      <c r="B25" s="444"/>
      <c r="C25" s="23"/>
      <c r="D25" s="25"/>
      <c r="E25" s="23"/>
      <c r="F25" s="26" t="s">
        <v>51</v>
      </c>
      <c r="G25" s="2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5.5" customHeight="1">
      <c r="A26" s="457" t="s">
        <v>52</v>
      </c>
      <c r="B26" s="458"/>
      <c r="C26" s="458"/>
      <c r="D26" s="28"/>
      <c r="E26" s="29"/>
      <c r="F26" s="27" t="s">
        <v>53</v>
      </c>
      <c r="G26" s="2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5.5" customHeight="1">
      <c r="A27" s="459" t="s">
        <v>54</v>
      </c>
      <c r="B27" s="460"/>
      <c r="C27" s="460"/>
      <c r="D27" s="28"/>
      <c r="E27" s="29"/>
      <c r="F27" s="30" t="s">
        <v>54</v>
      </c>
      <c r="G27" s="3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G1"/>
    <mergeCell ref="A2:G2"/>
    <mergeCell ref="F6:G6"/>
    <mergeCell ref="F4:G4"/>
    <mergeCell ref="C6:D6"/>
    <mergeCell ref="A17:A18"/>
    <mergeCell ref="B17:B18"/>
    <mergeCell ref="A19:A20"/>
    <mergeCell ref="B19:B20"/>
    <mergeCell ref="C4:D4"/>
    <mergeCell ref="C5:D5"/>
    <mergeCell ref="C8:F8"/>
    <mergeCell ref="A9:A11"/>
    <mergeCell ref="B9:B11"/>
    <mergeCell ref="C9:F9"/>
    <mergeCell ref="C10:F10"/>
    <mergeCell ref="C11:F11"/>
    <mergeCell ref="A26:C26"/>
    <mergeCell ref="A27:C27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A21:G21"/>
    <mergeCell ref="A24:C24"/>
    <mergeCell ref="A25:B25"/>
    <mergeCell ref="A12:A16"/>
    <mergeCell ref="B12:B16"/>
  </mergeCells>
  <pageMargins left="0.7" right="0.7" top="0.75" bottom="0.75" header="0" footer="0"/>
  <pageSetup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AA1000"/>
  <sheetViews>
    <sheetView showGridLines="0" workbookViewId="0">
      <selection activeCell="G6" sqref="G6:H6"/>
    </sheetView>
  </sheetViews>
  <sheetFormatPr defaultColWidth="12.7109375" defaultRowHeight="15" customHeight="1"/>
  <cols>
    <col min="1" max="1" width="4.28515625" customWidth="1"/>
    <col min="2" max="2" width="14.28515625" customWidth="1"/>
    <col min="3" max="3" width="13.140625" customWidth="1"/>
    <col min="4" max="4" width="17" customWidth="1"/>
    <col min="5" max="5" width="12.28515625" customWidth="1"/>
    <col min="6" max="6" width="8.28515625" customWidth="1"/>
    <col min="7" max="7" width="7.28515625" customWidth="1"/>
    <col min="8" max="8" width="20.85546875" customWidth="1"/>
    <col min="9" max="9" width="5.7109375" customWidth="1"/>
    <col min="10" max="27" width="8" customWidth="1"/>
  </cols>
  <sheetData>
    <row r="1" spans="1:27" ht="20.25" customHeight="1">
      <c r="A1" s="482" t="s">
        <v>8</v>
      </c>
      <c r="B1" s="444"/>
      <c r="C1" s="444"/>
      <c r="D1" s="444"/>
      <c r="E1" s="444"/>
      <c r="F1" s="444"/>
      <c r="G1" s="444"/>
      <c r="H1" s="44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>
      <c r="A2" s="483" t="s">
        <v>55</v>
      </c>
      <c r="B2" s="484"/>
      <c r="C2" s="484"/>
      <c r="D2" s="484"/>
      <c r="E2" s="484"/>
      <c r="F2" s="484"/>
      <c r="G2" s="484"/>
      <c r="H2" s="48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7"/>
      <c r="B3" s="7"/>
      <c r="C3" s="7"/>
      <c r="D3" s="7"/>
      <c r="E3" s="7"/>
      <c r="F3" s="7"/>
      <c r="G3" s="7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4.6" customHeight="1">
      <c r="A4" s="8"/>
      <c r="B4" s="8" t="s">
        <v>10</v>
      </c>
      <c r="C4" s="474" t="str">
        <f>'support table'!$B$2</f>
        <v>[REGION]</v>
      </c>
      <c r="D4" s="458"/>
      <c r="E4" s="23"/>
      <c r="F4" s="8" t="s">
        <v>11</v>
      </c>
      <c r="G4" s="490" t="str">
        <f>'support table'!$B$3</f>
        <v>[NAMA_LOKASI]</v>
      </c>
      <c r="H4" s="48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75" customHeight="1">
      <c r="A5" s="8"/>
      <c r="B5" s="8" t="s">
        <v>12</v>
      </c>
      <c r="C5" s="475" t="str">
        <f>'support table'!$B$6</f>
        <v>[NAMA_OLT]</v>
      </c>
      <c r="D5" s="460"/>
      <c r="E5" s="23"/>
      <c r="F5" s="8" t="s">
        <v>13</v>
      </c>
      <c r="G5" s="474" t="str">
        <f>'support table'!$B$7</f>
        <v>[ID_FDT_FROM]</v>
      </c>
      <c r="H5" s="45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2.75" customHeight="1">
      <c r="A6" s="8"/>
      <c r="B6" s="8" t="s">
        <v>14</v>
      </c>
      <c r="C6" s="491" t="str">
        <f>'support table'!$B$5</f>
        <v>[ALAMAT]</v>
      </c>
      <c r="D6" s="492"/>
      <c r="E6" s="23"/>
      <c r="F6" s="8" t="s">
        <v>14</v>
      </c>
      <c r="G6" s="491" t="str">
        <f>'support table'!$B$5</f>
        <v>[ALAMAT]</v>
      </c>
      <c r="H6" s="49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4.75" customHeight="1">
      <c r="A7" s="10"/>
      <c r="B7" s="11"/>
      <c r="C7" s="11"/>
      <c r="D7" s="11"/>
      <c r="E7" s="11"/>
      <c r="F7" s="3"/>
      <c r="G7" s="4"/>
      <c r="H7" s="1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8" customHeight="1">
      <c r="A8" s="13" t="s">
        <v>15</v>
      </c>
      <c r="B8" s="14" t="s">
        <v>16</v>
      </c>
      <c r="C8" s="476" t="s">
        <v>17</v>
      </c>
      <c r="D8" s="464"/>
      <c r="E8" s="464"/>
      <c r="F8" s="464"/>
      <c r="G8" s="477"/>
      <c r="H8" s="15" t="s">
        <v>18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8.5" customHeight="1">
      <c r="A9" s="478">
        <v>1</v>
      </c>
      <c r="B9" s="471" t="s">
        <v>19</v>
      </c>
      <c r="C9" s="479" t="s">
        <v>56</v>
      </c>
      <c r="D9" s="480"/>
      <c r="E9" s="480"/>
      <c r="F9" s="480"/>
      <c r="G9" s="481"/>
      <c r="H9" s="17" t="s">
        <v>57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6.25" customHeight="1">
      <c r="A10" s="472"/>
      <c r="B10" s="472"/>
      <c r="C10" s="461" t="s">
        <v>58</v>
      </c>
      <c r="D10" s="460"/>
      <c r="E10" s="460"/>
      <c r="F10" s="460"/>
      <c r="G10" s="462"/>
      <c r="H10" s="18" t="s">
        <v>59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1.5" customHeight="1">
      <c r="A11" s="473"/>
      <c r="B11" s="473"/>
      <c r="C11" s="461" t="s">
        <v>60</v>
      </c>
      <c r="D11" s="460"/>
      <c r="E11" s="460"/>
      <c r="F11" s="460"/>
      <c r="G11" s="462"/>
      <c r="H11" s="18" t="s">
        <v>61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8" customHeight="1">
      <c r="A12" s="468">
        <v>2</v>
      </c>
      <c r="B12" s="471" t="s">
        <v>26</v>
      </c>
      <c r="C12" s="461" t="s">
        <v>62</v>
      </c>
      <c r="D12" s="460"/>
      <c r="E12" s="460"/>
      <c r="F12" s="460"/>
      <c r="G12" s="462"/>
      <c r="H12" s="18" t="s">
        <v>63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8" customHeight="1">
      <c r="A13" s="469"/>
      <c r="B13" s="472"/>
      <c r="C13" s="461" t="s">
        <v>64</v>
      </c>
      <c r="D13" s="460"/>
      <c r="E13" s="460"/>
      <c r="F13" s="460"/>
      <c r="G13" s="462"/>
      <c r="H13" s="18" t="s">
        <v>65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8" customHeight="1">
      <c r="A14" s="469"/>
      <c r="B14" s="472"/>
      <c r="C14" s="461" t="s">
        <v>66</v>
      </c>
      <c r="D14" s="460"/>
      <c r="E14" s="460"/>
      <c r="F14" s="460"/>
      <c r="G14" s="462"/>
      <c r="H14" s="18" t="s">
        <v>67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8" customHeight="1">
      <c r="A15" s="469"/>
      <c r="B15" s="472"/>
      <c r="C15" s="461" t="s">
        <v>68</v>
      </c>
      <c r="D15" s="460"/>
      <c r="E15" s="460"/>
      <c r="F15" s="460"/>
      <c r="G15" s="462"/>
      <c r="H15" s="18" t="s">
        <v>69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6.25" customHeight="1">
      <c r="A16" s="469"/>
      <c r="B16" s="472"/>
      <c r="C16" s="461" t="s">
        <v>70</v>
      </c>
      <c r="D16" s="460"/>
      <c r="E16" s="460"/>
      <c r="F16" s="460"/>
      <c r="G16" s="462"/>
      <c r="H16" s="18" t="s">
        <v>71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" customHeight="1">
      <c r="A17" s="470"/>
      <c r="B17" s="473"/>
      <c r="C17" s="461" t="s">
        <v>72</v>
      </c>
      <c r="D17" s="460"/>
      <c r="E17" s="460"/>
      <c r="F17" s="460"/>
      <c r="G17" s="462"/>
      <c r="H17" s="18" t="s">
        <v>73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1" customHeight="1">
      <c r="A18" s="468">
        <v>3</v>
      </c>
      <c r="B18" s="471" t="s">
        <v>37</v>
      </c>
      <c r="C18" s="461" t="s">
        <v>38</v>
      </c>
      <c r="D18" s="460"/>
      <c r="E18" s="460"/>
      <c r="F18" s="460"/>
      <c r="G18" s="462"/>
      <c r="H18" s="18" t="s">
        <v>74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5.5" customHeight="1">
      <c r="A19" s="469"/>
      <c r="B19" s="472"/>
      <c r="C19" s="461" t="s">
        <v>40</v>
      </c>
      <c r="D19" s="460"/>
      <c r="E19" s="460"/>
      <c r="F19" s="460"/>
      <c r="G19" s="462"/>
      <c r="H19" s="18" t="s">
        <v>75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5.5" customHeight="1">
      <c r="A20" s="470"/>
      <c r="B20" s="473"/>
      <c r="C20" s="461" t="s">
        <v>76</v>
      </c>
      <c r="D20" s="460"/>
      <c r="E20" s="460"/>
      <c r="F20" s="460"/>
      <c r="G20" s="462"/>
      <c r="H20" s="18" t="s">
        <v>77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7.75" customHeight="1">
      <c r="A21" s="468">
        <v>4</v>
      </c>
      <c r="B21" s="471" t="s">
        <v>78</v>
      </c>
      <c r="C21" s="461" t="s">
        <v>79</v>
      </c>
      <c r="D21" s="460"/>
      <c r="E21" s="460"/>
      <c r="F21" s="460"/>
      <c r="G21" s="462"/>
      <c r="H21" s="18" t="s">
        <v>80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7.75" customHeight="1">
      <c r="A22" s="470"/>
      <c r="B22" s="473"/>
      <c r="C22" s="461" t="s">
        <v>45</v>
      </c>
      <c r="D22" s="460"/>
      <c r="E22" s="460"/>
      <c r="F22" s="460"/>
      <c r="G22" s="462"/>
      <c r="H22" s="18" t="s">
        <v>81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86" customHeight="1">
      <c r="A23" s="463" t="str">
        <f>"Comments: " &amp; 'support table'!$B$7</f>
        <v>Comments: [ID_FDT_FROM]</v>
      </c>
      <c r="B23" s="464"/>
      <c r="C23" s="464"/>
      <c r="D23" s="464"/>
      <c r="E23" s="464"/>
      <c r="F23" s="464"/>
      <c r="G23" s="464"/>
      <c r="H23" s="46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0.25" customHeight="1">
      <c r="A24" s="20" t="s">
        <v>47</v>
      </c>
      <c r="B24" s="21"/>
      <c r="C24" s="22"/>
      <c r="D24" s="6"/>
      <c r="E24" s="6"/>
      <c r="F24" s="6"/>
      <c r="G24" s="23"/>
      <c r="H24" s="2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1" customHeight="1">
      <c r="A25" s="23" t="s">
        <v>48</v>
      </c>
      <c r="B25" s="23"/>
      <c r="C25" s="23"/>
      <c r="D25" s="23"/>
      <c r="E25" s="23"/>
      <c r="F25" s="23"/>
      <c r="G25" s="23" t="s">
        <v>49</v>
      </c>
      <c r="H25" s="2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5.5" customHeight="1">
      <c r="A26" s="466" t="str">
        <f>"Name: " &amp; 'support table'!$B$10</f>
        <v>Name: [REP_VENDOR]</v>
      </c>
      <c r="B26" s="458"/>
      <c r="C26" s="458"/>
      <c r="D26" s="25"/>
      <c r="E26" s="25"/>
      <c r="F26" s="2"/>
      <c r="G26" s="24" t="str">
        <f>"Name: " &amp; 'support table'!$B$13</f>
        <v>Name: [REP_CUSTOMER]</v>
      </c>
      <c r="H26" s="2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5.5" customHeight="1">
      <c r="A27" s="467" t="s">
        <v>51</v>
      </c>
      <c r="B27" s="444"/>
      <c r="C27" s="23"/>
      <c r="D27" s="25"/>
      <c r="E27" s="25"/>
      <c r="F27" s="23"/>
      <c r="G27" s="26" t="s">
        <v>51</v>
      </c>
      <c r="H27" s="2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.5" customHeight="1">
      <c r="A28" s="457" t="s">
        <v>52</v>
      </c>
      <c r="B28" s="458"/>
      <c r="C28" s="458"/>
      <c r="D28" s="28"/>
      <c r="E28" s="28"/>
      <c r="F28" s="29"/>
      <c r="G28" s="27" t="s">
        <v>53</v>
      </c>
      <c r="H28" s="2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5.5" customHeight="1">
      <c r="A29" s="459" t="s">
        <v>54</v>
      </c>
      <c r="B29" s="460"/>
      <c r="C29" s="460"/>
      <c r="D29" s="28"/>
      <c r="E29" s="28"/>
      <c r="F29" s="29"/>
      <c r="G29" s="30" t="s">
        <v>54</v>
      </c>
      <c r="H29" s="3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/>
    <row r="231" spans="1:27" ht="15.75" customHeight="1"/>
    <row r="232" spans="1:27" ht="15.75" customHeight="1"/>
    <row r="233" spans="1:27" ht="15.75" customHeight="1"/>
    <row r="234" spans="1:27" ht="15.75" customHeight="1"/>
    <row r="235" spans="1:27" ht="15.75" customHeight="1"/>
    <row r="236" spans="1:27" ht="15.75" customHeight="1"/>
    <row r="237" spans="1:27" ht="15.75" customHeight="1"/>
    <row r="238" spans="1:27" ht="15.75" customHeight="1"/>
    <row r="239" spans="1:27" ht="15.75" customHeight="1"/>
    <row r="240" spans="1:2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C21:G21"/>
    <mergeCell ref="C22:G22"/>
    <mergeCell ref="G6:H6"/>
    <mergeCell ref="C8:G8"/>
    <mergeCell ref="A9:A11"/>
    <mergeCell ref="B9:B11"/>
    <mergeCell ref="C9:G9"/>
    <mergeCell ref="C10:G10"/>
    <mergeCell ref="C11:G11"/>
    <mergeCell ref="C17:G17"/>
    <mergeCell ref="C18:G18"/>
    <mergeCell ref="C6:D6"/>
    <mergeCell ref="C19:G19"/>
    <mergeCell ref="C20:G20"/>
    <mergeCell ref="A27:B27"/>
    <mergeCell ref="A28:C28"/>
    <mergeCell ref="A29:C29"/>
    <mergeCell ref="A12:A17"/>
    <mergeCell ref="B12:B17"/>
    <mergeCell ref="A18:A20"/>
    <mergeCell ref="B18:B20"/>
    <mergeCell ref="A21:A22"/>
    <mergeCell ref="B21:B22"/>
    <mergeCell ref="A26:C26"/>
    <mergeCell ref="A23:H23"/>
    <mergeCell ref="C12:G12"/>
    <mergeCell ref="C13:G13"/>
    <mergeCell ref="C14:G14"/>
    <mergeCell ref="C15:G15"/>
    <mergeCell ref="C16:G16"/>
    <mergeCell ref="A1:H1"/>
    <mergeCell ref="A2:H2"/>
    <mergeCell ref="C4:D4"/>
    <mergeCell ref="G4:H4"/>
    <mergeCell ref="C5:D5"/>
    <mergeCell ref="G5:H5"/>
  </mergeCells>
  <pageMargins left="0.7" right="0.7" top="0.75" bottom="0.75" header="0" footer="0"/>
  <pageSetup scale="8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E5E7-FEE5-4F7A-91EA-C9BEBD3B6496}">
  <sheetPr codeName="Sheet13">
    <pageSetUpPr fitToPage="1"/>
  </sheetPr>
  <dimension ref="A1:Y1000"/>
  <sheetViews>
    <sheetView showGridLines="0" workbookViewId="0">
      <selection activeCell="K12" sqref="K12"/>
    </sheetView>
  </sheetViews>
  <sheetFormatPr defaultColWidth="12.7109375" defaultRowHeight="15" customHeight="1"/>
  <cols>
    <col min="1" max="1" width="5" customWidth="1"/>
    <col min="2" max="2" width="12.28515625" customWidth="1"/>
    <col min="3" max="3" width="0.28515625" customWidth="1"/>
    <col min="4" max="4" width="8.85546875" customWidth="1"/>
    <col min="5" max="5" width="12.85546875" customWidth="1"/>
    <col min="6" max="6" width="13.7109375" customWidth="1"/>
    <col min="7" max="7" width="13.28515625" customWidth="1"/>
    <col min="8" max="8" width="14.28515625" customWidth="1"/>
    <col min="9" max="9" width="17.7109375" customWidth="1"/>
    <col min="10" max="10" width="21.28515625" customWidth="1"/>
    <col min="11" max="11" width="25.140625" customWidth="1"/>
    <col min="12" max="25" width="7" customWidth="1"/>
  </cols>
  <sheetData>
    <row r="1" spans="1:25" ht="20.25" customHeight="1">
      <c r="A1" s="526" t="s">
        <v>8</v>
      </c>
      <c r="B1" s="499"/>
      <c r="C1" s="499"/>
      <c r="D1" s="499"/>
      <c r="E1" s="499"/>
      <c r="F1" s="499"/>
      <c r="G1" s="499"/>
      <c r="H1" s="499"/>
      <c r="I1" s="499"/>
      <c r="J1" s="499"/>
      <c r="K1" s="500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thickBot="1">
      <c r="A2" s="527" t="s">
        <v>256</v>
      </c>
      <c r="B2" s="484"/>
      <c r="C2" s="484"/>
      <c r="D2" s="484"/>
      <c r="E2" s="484"/>
      <c r="F2" s="484"/>
      <c r="G2" s="484"/>
      <c r="H2" s="484"/>
      <c r="I2" s="484"/>
      <c r="J2" s="484"/>
      <c r="K2" s="528"/>
    </row>
    <row r="3" spans="1:25" ht="12" customHeight="1" thickTop="1">
      <c r="A3" s="76"/>
      <c r="B3" s="23"/>
      <c r="C3" s="23"/>
      <c r="D3" s="23"/>
      <c r="E3" s="23"/>
      <c r="F3" s="23"/>
      <c r="G3" s="23"/>
      <c r="H3" s="23"/>
      <c r="I3" s="23"/>
      <c r="J3" s="23"/>
      <c r="K3" s="52"/>
    </row>
    <row r="4" spans="1:25" ht="13.5" customHeight="1">
      <c r="A4" s="77"/>
      <c r="B4" s="3" t="s">
        <v>10</v>
      </c>
      <c r="C4" s="11"/>
      <c r="D4" s="474" t="str">
        <f>'support table'!$B$2</f>
        <v>[REGION]</v>
      </c>
      <c r="E4" s="458"/>
      <c r="F4" s="9"/>
      <c r="G4" s="23"/>
      <c r="H4" s="8" t="s">
        <v>257</v>
      </c>
      <c r="I4" s="487" t="str">
        <f>'support table'!$B$3</f>
        <v>[NAMA_LOKASI]</v>
      </c>
      <c r="J4" s="458"/>
      <c r="K4" s="78"/>
    </row>
    <row r="5" spans="1:25" ht="12.75" customHeight="1">
      <c r="A5" s="77"/>
      <c r="B5" s="3" t="s">
        <v>12</v>
      </c>
      <c r="C5" s="11"/>
      <c r="D5" s="475" t="str">
        <f>'support table'!$B$6</f>
        <v>[NAMA_OLT]</v>
      </c>
      <c r="E5" s="460"/>
      <c r="F5" s="9"/>
      <c r="G5" s="23"/>
      <c r="H5" s="8" t="s">
        <v>13</v>
      </c>
      <c r="I5" s="474" t="str">
        <f>'support table'!$B$7</f>
        <v>[ID_FDT_FROM]</v>
      </c>
      <c r="J5" s="458"/>
      <c r="K5" s="78"/>
    </row>
    <row r="6" spans="1:25" ht="12.75" customHeight="1">
      <c r="A6" s="77"/>
      <c r="B6" s="3" t="s">
        <v>14</v>
      </c>
      <c r="C6" s="11"/>
      <c r="D6" s="238" t="str">
        <f>'support table'!$B$5</f>
        <v>[ALAMAT]</v>
      </c>
      <c r="E6" s="236"/>
      <c r="F6" s="9"/>
      <c r="G6" s="23"/>
      <c r="H6" s="8" t="s">
        <v>14</v>
      </c>
      <c r="I6" s="522" t="str">
        <f>'support table'!$B$5</f>
        <v>[ALAMAT]</v>
      </c>
      <c r="J6" s="523"/>
      <c r="K6" s="79"/>
    </row>
    <row r="7" spans="1:25" ht="13.5" customHeight="1" thickBot="1">
      <c r="A7" s="77"/>
      <c r="B7" s="3"/>
      <c r="C7" s="3"/>
      <c r="D7" s="8"/>
      <c r="E7" s="2"/>
      <c r="F7" s="2"/>
      <c r="G7" s="23"/>
      <c r="H7" s="23"/>
      <c r="I7" s="26"/>
      <c r="J7" s="80"/>
      <c r="K7" s="79"/>
    </row>
    <row r="8" spans="1:25" ht="13.5" customHeight="1" thickBot="1">
      <c r="A8" s="524" t="s">
        <v>125</v>
      </c>
      <c r="B8" s="464"/>
      <c r="C8" s="464"/>
      <c r="D8" s="464"/>
      <c r="E8" s="464"/>
      <c r="F8" s="464"/>
      <c r="G8" s="464"/>
      <c r="H8" s="464"/>
      <c r="I8" s="464"/>
      <c r="J8" s="464"/>
      <c r="K8" s="465"/>
    </row>
    <row r="9" spans="1:25" ht="13.5" customHeight="1" thickBot="1">
      <c r="A9" s="525" t="s">
        <v>258</v>
      </c>
      <c r="B9" s="477"/>
      <c r="C9" s="81"/>
      <c r="D9" s="476" t="s">
        <v>259</v>
      </c>
      <c r="E9" s="465"/>
      <c r="F9" s="476" t="s">
        <v>260</v>
      </c>
      <c r="G9" s="465"/>
      <c r="H9" s="82" t="s">
        <v>261</v>
      </c>
      <c r="I9" s="82" t="s">
        <v>262</v>
      </c>
      <c r="J9" s="82" t="s">
        <v>263</v>
      </c>
      <c r="K9" s="83" t="s">
        <v>264</v>
      </c>
    </row>
    <row r="10" spans="1:25" ht="27.75" customHeight="1">
      <c r="A10" s="516" t="s">
        <v>265</v>
      </c>
      <c r="B10" s="499"/>
      <c r="C10" s="517"/>
      <c r="D10" s="519" t="s">
        <v>266</v>
      </c>
      <c r="E10" s="517"/>
      <c r="F10" s="521" t="s">
        <v>267</v>
      </c>
      <c r="G10" s="481"/>
      <c r="H10" s="509" t="s">
        <v>268</v>
      </c>
      <c r="I10" s="509" t="s">
        <v>269</v>
      </c>
      <c r="J10" s="509" t="s">
        <v>270</v>
      </c>
      <c r="K10" s="511" t="s">
        <v>271</v>
      </c>
    </row>
    <row r="11" spans="1:25" ht="66" customHeight="1" thickBot="1">
      <c r="A11" s="501"/>
      <c r="B11" s="502"/>
      <c r="C11" s="518"/>
      <c r="D11" s="520"/>
      <c r="E11" s="518"/>
      <c r="F11" s="84" t="s">
        <v>272</v>
      </c>
      <c r="G11" s="84" t="s">
        <v>273</v>
      </c>
      <c r="H11" s="510"/>
      <c r="I11" s="510"/>
      <c r="J11" s="510"/>
      <c r="K11" s="512"/>
    </row>
    <row r="12" spans="1:25" ht="12.75" customHeight="1">
      <c r="A12" s="513" t="s">
        <v>500</v>
      </c>
      <c r="B12" s="458"/>
      <c r="C12" s="506"/>
      <c r="D12" s="514" t="s">
        <v>501</v>
      </c>
      <c r="E12" s="515"/>
      <c r="F12" s="85"/>
      <c r="G12" s="86"/>
      <c r="H12" s="87"/>
      <c r="I12" s="88"/>
      <c r="J12" s="89"/>
      <c r="K12" s="90" t="s">
        <v>274</v>
      </c>
    </row>
    <row r="13" spans="1:25" ht="12.75" customHeight="1">
      <c r="A13" s="505"/>
      <c r="B13" s="458"/>
      <c r="C13" s="506"/>
      <c r="D13" s="507"/>
      <c r="E13" s="508"/>
      <c r="F13" s="91"/>
      <c r="G13" s="92"/>
      <c r="H13" s="93"/>
      <c r="I13" s="94"/>
      <c r="J13" s="95"/>
      <c r="K13" s="90"/>
    </row>
    <row r="14" spans="1:25" ht="12.75" customHeight="1">
      <c r="A14" s="505"/>
      <c r="B14" s="458"/>
      <c r="C14" s="506"/>
      <c r="D14" s="507"/>
      <c r="E14" s="508"/>
      <c r="F14" s="91"/>
      <c r="G14" s="92"/>
      <c r="H14" s="93"/>
      <c r="I14" s="94"/>
      <c r="J14" s="95"/>
      <c r="K14" s="90"/>
    </row>
    <row r="15" spans="1:25" ht="12.75" customHeight="1">
      <c r="A15" s="505"/>
      <c r="B15" s="458"/>
      <c r="C15" s="506"/>
      <c r="D15" s="507"/>
      <c r="E15" s="508"/>
      <c r="F15" s="91"/>
      <c r="G15" s="92"/>
      <c r="H15" s="93"/>
      <c r="I15" s="94"/>
      <c r="J15" s="95"/>
      <c r="K15" s="90"/>
    </row>
    <row r="16" spans="1:25" ht="12.75" customHeight="1">
      <c r="A16" s="505"/>
      <c r="B16" s="458"/>
      <c r="C16" s="506"/>
      <c r="D16" s="507"/>
      <c r="E16" s="508"/>
      <c r="F16" s="91"/>
      <c r="G16" s="92"/>
      <c r="H16" s="93"/>
      <c r="I16" s="94"/>
      <c r="J16" s="95"/>
      <c r="K16" s="90"/>
    </row>
    <row r="17" spans="1:11" ht="12.75" customHeight="1">
      <c r="A17" s="505"/>
      <c r="B17" s="458"/>
      <c r="C17" s="506"/>
      <c r="D17" s="507"/>
      <c r="E17" s="508"/>
      <c r="F17" s="91"/>
      <c r="G17" s="92"/>
      <c r="H17" s="93"/>
      <c r="I17" s="94"/>
      <c r="J17" s="95"/>
      <c r="K17" s="90"/>
    </row>
    <row r="18" spans="1:11" ht="12.75" customHeight="1">
      <c r="A18" s="505"/>
      <c r="B18" s="458"/>
      <c r="C18" s="506"/>
      <c r="D18" s="507"/>
      <c r="E18" s="508"/>
      <c r="F18" s="91"/>
      <c r="G18" s="92"/>
      <c r="H18" s="93"/>
      <c r="I18" s="94"/>
      <c r="J18" s="95"/>
      <c r="K18" s="90"/>
    </row>
    <row r="19" spans="1:11" ht="12.75" customHeight="1">
      <c r="A19" s="505"/>
      <c r="B19" s="458"/>
      <c r="C19" s="506"/>
      <c r="D19" s="507"/>
      <c r="E19" s="508"/>
      <c r="F19" s="91"/>
      <c r="G19" s="92"/>
      <c r="H19" s="93"/>
      <c r="I19" s="94"/>
      <c r="J19" s="95"/>
      <c r="K19" s="90"/>
    </row>
    <row r="20" spans="1:11" ht="12.75" customHeight="1">
      <c r="A20" s="505"/>
      <c r="B20" s="458"/>
      <c r="C20" s="506"/>
      <c r="D20" s="507"/>
      <c r="E20" s="508"/>
      <c r="F20" s="91"/>
      <c r="G20" s="92"/>
      <c r="H20" s="93"/>
      <c r="I20" s="94"/>
      <c r="J20" s="95"/>
      <c r="K20" s="90"/>
    </row>
    <row r="21" spans="1:11" ht="12.75" customHeight="1">
      <c r="A21" s="505"/>
      <c r="B21" s="458"/>
      <c r="C21" s="506"/>
      <c r="D21" s="507"/>
      <c r="E21" s="508"/>
      <c r="F21" s="91"/>
      <c r="G21" s="92"/>
      <c r="H21" s="93"/>
      <c r="I21" s="94"/>
      <c r="J21" s="95"/>
      <c r="K21" s="90"/>
    </row>
    <row r="22" spans="1:11" ht="12.75" customHeight="1">
      <c r="A22" s="505"/>
      <c r="B22" s="458"/>
      <c r="C22" s="506"/>
      <c r="D22" s="507"/>
      <c r="E22" s="508"/>
      <c r="F22" s="91"/>
      <c r="G22" s="92"/>
      <c r="H22" s="93"/>
      <c r="I22" s="94"/>
      <c r="J22" s="95"/>
      <c r="K22" s="90"/>
    </row>
    <row r="23" spans="1:11" ht="12.75" customHeight="1">
      <c r="A23" s="505"/>
      <c r="B23" s="458"/>
      <c r="C23" s="506"/>
      <c r="D23" s="507"/>
      <c r="E23" s="508"/>
      <c r="F23" s="96"/>
      <c r="G23" s="92"/>
      <c r="H23" s="93"/>
      <c r="I23" s="92"/>
      <c r="J23" s="97"/>
      <c r="K23" s="90"/>
    </row>
    <row r="24" spans="1:11" ht="12.75" customHeight="1">
      <c r="A24" s="505"/>
      <c r="B24" s="458"/>
      <c r="C24" s="506"/>
      <c r="D24" s="507"/>
      <c r="E24" s="508"/>
      <c r="F24" s="96"/>
      <c r="G24" s="92"/>
      <c r="H24" s="93"/>
      <c r="I24" s="92"/>
      <c r="J24" s="97"/>
      <c r="K24" s="90"/>
    </row>
    <row r="25" spans="1:11" ht="12.75" customHeight="1">
      <c r="A25" s="505"/>
      <c r="B25" s="458"/>
      <c r="C25" s="506"/>
      <c r="D25" s="507"/>
      <c r="E25" s="508"/>
      <c r="F25" s="96"/>
      <c r="G25" s="92"/>
      <c r="H25" s="93"/>
      <c r="I25" s="92"/>
      <c r="J25" s="97"/>
      <c r="K25" s="90"/>
    </row>
    <row r="26" spans="1:11" ht="12.75" customHeight="1">
      <c r="A26" s="505"/>
      <c r="B26" s="458"/>
      <c r="C26" s="506"/>
      <c r="D26" s="507"/>
      <c r="E26" s="508"/>
      <c r="F26" s="96"/>
      <c r="G26" s="92"/>
      <c r="H26" s="93"/>
      <c r="I26" s="92"/>
      <c r="J26" s="97"/>
      <c r="K26" s="90"/>
    </row>
    <row r="27" spans="1:11" ht="12.75" customHeight="1">
      <c r="A27" s="505"/>
      <c r="B27" s="458"/>
      <c r="C27" s="506"/>
      <c r="D27" s="507"/>
      <c r="E27" s="508"/>
      <c r="F27" s="96"/>
      <c r="G27" s="92"/>
      <c r="H27" s="93"/>
      <c r="I27" s="92"/>
      <c r="J27" s="97"/>
      <c r="K27" s="90"/>
    </row>
    <row r="28" spans="1:11" ht="12.75" customHeight="1">
      <c r="A28" s="505"/>
      <c r="B28" s="458"/>
      <c r="C28" s="506"/>
      <c r="D28" s="507"/>
      <c r="E28" s="508"/>
      <c r="F28" s="96"/>
      <c r="G28" s="92"/>
      <c r="H28" s="93"/>
      <c r="I28" s="92"/>
      <c r="J28" s="97"/>
      <c r="K28" s="90"/>
    </row>
    <row r="29" spans="1:11" ht="12.75" customHeight="1">
      <c r="A29" s="505"/>
      <c r="B29" s="458"/>
      <c r="C29" s="506"/>
      <c r="D29" s="507"/>
      <c r="E29" s="508"/>
      <c r="F29" s="96"/>
      <c r="G29" s="92"/>
      <c r="H29" s="93"/>
      <c r="I29" s="92"/>
      <c r="J29" s="97"/>
      <c r="K29" s="90"/>
    </row>
    <row r="30" spans="1:11" ht="12.75" customHeight="1">
      <c r="A30" s="505"/>
      <c r="B30" s="458"/>
      <c r="C30" s="506"/>
      <c r="D30" s="507"/>
      <c r="E30" s="508"/>
      <c r="F30" s="96"/>
      <c r="G30" s="92"/>
      <c r="H30" s="93"/>
      <c r="I30" s="92"/>
      <c r="J30" s="97"/>
      <c r="K30" s="90"/>
    </row>
    <row r="31" spans="1:11" ht="13.5" customHeight="1" thickBot="1">
      <c r="A31" s="505"/>
      <c r="B31" s="458"/>
      <c r="C31" s="506"/>
      <c r="D31" s="507"/>
      <c r="E31" s="508"/>
      <c r="F31" s="98"/>
      <c r="G31" s="99"/>
      <c r="H31" s="100"/>
      <c r="I31" s="99"/>
      <c r="J31" s="101"/>
      <c r="K31" s="90"/>
    </row>
    <row r="32" spans="1:11" ht="12.75" customHeight="1">
      <c r="A32" s="498" t="str">
        <f>"Comments: " &amp; 'support table'!$B$7</f>
        <v>Comments: [ID_FDT_FROM]</v>
      </c>
      <c r="B32" s="499"/>
      <c r="C32" s="499"/>
      <c r="D32" s="499"/>
      <c r="E32" s="499"/>
      <c r="F32" s="499"/>
      <c r="G32" s="499"/>
      <c r="H32" s="499"/>
      <c r="I32" s="499"/>
      <c r="J32" s="499"/>
      <c r="K32" s="500"/>
    </row>
    <row r="33" spans="1:11" ht="25.5" customHeight="1" thickBot="1">
      <c r="A33" s="501"/>
      <c r="B33" s="502"/>
      <c r="C33" s="502"/>
      <c r="D33" s="502"/>
      <c r="E33" s="502"/>
      <c r="F33" s="502"/>
      <c r="G33" s="502"/>
      <c r="H33" s="502"/>
      <c r="I33" s="502"/>
      <c r="J33" s="502"/>
      <c r="K33" s="503"/>
    </row>
    <row r="34" spans="1:11" ht="12.75" customHeight="1">
      <c r="A34" s="102" t="s">
        <v>275</v>
      </c>
      <c r="B34" s="103"/>
      <c r="C34" s="103"/>
      <c r="D34" s="103"/>
      <c r="E34" s="103"/>
      <c r="F34" s="103"/>
      <c r="G34" s="103"/>
      <c r="H34" s="103"/>
      <c r="I34" s="103"/>
      <c r="J34" s="103" t="s">
        <v>49</v>
      </c>
      <c r="K34" s="104"/>
    </row>
    <row r="35" spans="1:11" ht="18.75" customHeight="1">
      <c r="A35" s="270" t="str">
        <f>"Name: " &amp; 'support table'!$B$10</f>
        <v>Name: [REP_VENDOR]</v>
      </c>
      <c r="B35" s="235"/>
      <c r="C35" s="105"/>
      <c r="D35" s="75"/>
      <c r="E35" s="235"/>
      <c r="G35" s="25"/>
      <c r="H35" s="29"/>
      <c r="I35" s="39"/>
      <c r="J35" s="466" t="str">
        <f>"Name: " &amp; 'support table'!$B$13</f>
        <v>Name: [REP_CUSTOMER]</v>
      </c>
      <c r="K35" s="495"/>
    </row>
    <row r="36" spans="1:11" ht="16.5" customHeight="1">
      <c r="A36" s="504" t="s">
        <v>51</v>
      </c>
      <c r="B36" s="444"/>
      <c r="C36" s="106"/>
      <c r="D36" s="23"/>
      <c r="G36" s="26"/>
      <c r="H36" s="106"/>
      <c r="I36" s="106"/>
      <c r="J36" s="26" t="s">
        <v>276</v>
      </c>
      <c r="K36" s="52"/>
    </row>
    <row r="37" spans="1:11" ht="15.75" customHeight="1">
      <c r="A37" s="494" t="s">
        <v>50</v>
      </c>
      <c r="B37" s="458"/>
      <c r="C37" s="105"/>
      <c r="D37" s="466"/>
      <c r="E37" s="458"/>
      <c r="G37" s="25"/>
      <c r="H37" s="1"/>
      <c r="I37" s="39"/>
      <c r="J37" s="466" t="s">
        <v>50</v>
      </c>
      <c r="K37" s="495"/>
    </row>
    <row r="38" spans="1:11" ht="12.75" customHeight="1">
      <c r="A38" s="493"/>
      <c r="B38" s="444"/>
      <c r="C38" s="444"/>
      <c r="D38" s="28"/>
      <c r="G38" s="29"/>
      <c r="H38" s="29"/>
      <c r="I38" s="23"/>
      <c r="J38" s="29"/>
      <c r="K38" s="52"/>
    </row>
    <row r="39" spans="1:11" ht="15.75" customHeight="1">
      <c r="A39" s="107"/>
      <c r="C39" s="29"/>
      <c r="D39" s="28"/>
      <c r="G39" s="23"/>
      <c r="H39" s="29"/>
      <c r="I39" s="39"/>
      <c r="K39" s="52"/>
    </row>
    <row r="40" spans="1:11" ht="12.75" customHeight="1">
      <c r="A40" s="494" t="s">
        <v>50</v>
      </c>
      <c r="B40" s="458"/>
      <c r="C40" s="105"/>
      <c r="D40" s="466"/>
      <c r="E40" s="458"/>
      <c r="G40" s="25"/>
      <c r="H40" s="23"/>
      <c r="I40" s="23"/>
      <c r="J40" s="466" t="s">
        <v>50</v>
      </c>
      <c r="K40" s="495"/>
    </row>
    <row r="41" spans="1:11" ht="13.5" customHeight="1" thickBot="1">
      <c r="A41" s="496" t="s">
        <v>54</v>
      </c>
      <c r="B41" s="497"/>
      <c r="C41" s="108"/>
      <c r="D41" s="109"/>
      <c r="E41" s="69"/>
      <c r="F41" s="69"/>
      <c r="G41" s="110"/>
      <c r="H41" s="111"/>
      <c r="I41" s="69"/>
      <c r="J41" s="109" t="s">
        <v>54</v>
      </c>
      <c r="K41" s="112"/>
    </row>
    <row r="42" spans="1:11" ht="12.75" customHeight="1"/>
    <row r="43" spans="1:11" ht="12.75" customHeight="1">
      <c r="A43" s="113"/>
      <c r="B43" s="113"/>
    </row>
    <row r="44" spans="1:11" ht="12.75" customHeight="1">
      <c r="A44" s="113"/>
      <c r="B44" s="113"/>
    </row>
    <row r="45" spans="1:11" ht="12.75" customHeight="1">
      <c r="A45" s="113"/>
      <c r="B45" s="113"/>
    </row>
    <row r="46" spans="1:11" ht="12.75" customHeight="1"/>
    <row r="47" spans="1:11" ht="12.75" customHeight="1"/>
    <row r="48" spans="1:11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A1:K1"/>
    <mergeCell ref="A2:K2"/>
    <mergeCell ref="D4:E4"/>
    <mergeCell ref="I4:J4"/>
    <mergeCell ref="D5:E5"/>
    <mergeCell ref="I5:J5"/>
    <mergeCell ref="I6:J6"/>
    <mergeCell ref="A8:K8"/>
    <mergeCell ref="A9:B9"/>
    <mergeCell ref="D9:E9"/>
    <mergeCell ref="F9:G9"/>
    <mergeCell ref="J10:J11"/>
    <mergeCell ref="K10:K11"/>
    <mergeCell ref="A12:C12"/>
    <mergeCell ref="D12:E12"/>
    <mergeCell ref="A13:C13"/>
    <mergeCell ref="D13:E13"/>
    <mergeCell ref="A10:C11"/>
    <mergeCell ref="D10:E11"/>
    <mergeCell ref="F10:G10"/>
    <mergeCell ref="H10:H11"/>
    <mergeCell ref="I10:I11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K33"/>
    <mergeCell ref="J35:K35"/>
    <mergeCell ref="A36:B36"/>
    <mergeCell ref="A37:B37"/>
    <mergeCell ref="D37:E37"/>
    <mergeCell ref="J37:K37"/>
    <mergeCell ref="A38:C38"/>
    <mergeCell ref="A40:B40"/>
    <mergeCell ref="D40:E40"/>
    <mergeCell ref="J40:K40"/>
    <mergeCell ref="A41:B41"/>
  </mergeCells>
  <pageMargins left="0.7" right="0.7" top="0.75" bottom="0.75" header="0" footer="0"/>
  <pageSetup scale="6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7">
    <tabColor rgb="FFFF0000"/>
    <pageSetUpPr fitToPage="1"/>
  </sheetPr>
  <dimension ref="A1:AA1000"/>
  <sheetViews>
    <sheetView showGridLines="0" zoomScale="80" workbookViewId="0">
      <selection activeCell="G5" sqref="G5:H5"/>
    </sheetView>
  </sheetViews>
  <sheetFormatPr defaultColWidth="12.7109375" defaultRowHeight="15" customHeight="1"/>
  <cols>
    <col min="1" max="1" width="4.28515625" customWidth="1"/>
    <col min="2" max="2" width="14.28515625" customWidth="1"/>
    <col min="3" max="3" width="11" customWidth="1"/>
    <col min="4" max="4" width="18.7109375" customWidth="1"/>
    <col min="5" max="5" width="12.42578125" customWidth="1"/>
    <col min="6" max="6" width="8.28515625" customWidth="1"/>
    <col min="7" max="7" width="12.140625" customWidth="1"/>
    <col min="8" max="8" width="22.28515625" customWidth="1"/>
    <col min="9" max="9" width="5.140625" customWidth="1"/>
    <col min="10" max="27" width="8" customWidth="1"/>
  </cols>
  <sheetData>
    <row r="1" spans="1:27" ht="20.25" customHeight="1">
      <c r="A1" s="482" t="s">
        <v>8</v>
      </c>
      <c r="B1" s="444"/>
      <c r="C1" s="444"/>
      <c r="D1" s="444"/>
      <c r="E1" s="444"/>
      <c r="F1" s="444"/>
      <c r="G1" s="444"/>
      <c r="H1" s="44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>
      <c r="A2" s="483" t="s">
        <v>82</v>
      </c>
      <c r="B2" s="484"/>
      <c r="C2" s="484"/>
      <c r="D2" s="484"/>
      <c r="E2" s="484"/>
      <c r="F2" s="484"/>
      <c r="G2" s="484"/>
      <c r="H2" s="48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>
      <c r="A3" s="7"/>
      <c r="B3" s="7"/>
      <c r="C3" s="7"/>
      <c r="D3" s="7"/>
      <c r="E3" s="7"/>
      <c r="F3" s="7"/>
      <c r="G3" s="7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4.6" customHeight="1">
      <c r="A4" s="8"/>
      <c r="B4" s="8" t="s">
        <v>10</v>
      </c>
      <c r="C4" s="474" t="str">
        <f>'support table'!$B$2</f>
        <v>[REGION]</v>
      </c>
      <c r="D4" s="458"/>
      <c r="E4" s="23"/>
      <c r="F4" s="8" t="s">
        <v>11</v>
      </c>
      <c r="G4" s="487" t="str">
        <f>'support table'!$B$3</f>
        <v>[NAMA_LOKASI]</v>
      </c>
      <c r="H4" s="45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75" customHeight="1">
      <c r="A5" s="8"/>
      <c r="B5" s="8" t="s">
        <v>12</v>
      </c>
      <c r="C5" s="475" t="str">
        <f>'support table'!$B$6</f>
        <v>[NAMA_OLT]</v>
      </c>
      <c r="D5" s="460"/>
      <c r="E5" s="23"/>
      <c r="F5" s="8" t="s">
        <v>13</v>
      </c>
      <c r="G5" s="474" t="str">
        <f>'support table'!$B$7</f>
        <v>[ID_FDT_FROM]</v>
      </c>
      <c r="H5" s="45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2.75" customHeight="1">
      <c r="A6" s="8"/>
      <c r="B6" s="8" t="s">
        <v>14</v>
      </c>
      <c r="C6" s="522" t="str">
        <f>'support table'!$B$5</f>
        <v>[ALAMAT]</v>
      </c>
      <c r="D6" s="523"/>
      <c r="E6" s="23"/>
      <c r="F6" s="8" t="s">
        <v>14</v>
      </c>
      <c r="G6" s="522" t="str">
        <f>'support table'!$B$5</f>
        <v>[ALAMAT]</v>
      </c>
      <c r="H6" s="52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4.75" customHeight="1">
      <c r="A7" s="10"/>
      <c r="B7" s="11"/>
      <c r="C7" s="11"/>
      <c r="D7" s="11"/>
      <c r="E7" s="11"/>
      <c r="F7" s="3"/>
      <c r="G7" s="475"/>
      <c r="H7" s="46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8" customHeight="1">
      <c r="A8" s="31" t="s">
        <v>15</v>
      </c>
      <c r="B8" s="32" t="s">
        <v>16</v>
      </c>
      <c r="C8" s="476" t="s">
        <v>17</v>
      </c>
      <c r="D8" s="464"/>
      <c r="E8" s="464"/>
      <c r="F8" s="464"/>
      <c r="G8" s="477"/>
      <c r="H8" s="15" t="s">
        <v>18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8" customHeight="1">
      <c r="A9" s="33">
        <v>1</v>
      </c>
      <c r="B9" s="34" t="s">
        <v>83</v>
      </c>
      <c r="C9" s="479" t="s">
        <v>84</v>
      </c>
      <c r="D9" s="480"/>
      <c r="E9" s="480"/>
      <c r="F9" s="480"/>
      <c r="G9" s="481"/>
      <c r="H9" s="17" t="s">
        <v>85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1" customHeight="1">
      <c r="A10" s="468">
        <v>2</v>
      </c>
      <c r="B10" s="471" t="s">
        <v>86</v>
      </c>
      <c r="C10" s="461" t="s">
        <v>87</v>
      </c>
      <c r="D10" s="460"/>
      <c r="E10" s="460"/>
      <c r="F10" s="460"/>
      <c r="G10" s="462"/>
      <c r="H10" s="18" t="s">
        <v>88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8" customHeight="1">
      <c r="A11" s="469"/>
      <c r="B11" s="472"/>
      <c r="C11" s="461" t="s">
        <v>89</v>
      </c>
      <c r="D11" s="460"/>
      <c r="E11" s="460"/>
      <c r="F11" s="460"/>
      <c r="G11" s="462"/>
      <c r="H11" s="18" t="s">
        <v>90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8" customHeight="1">
      <c r="A12" s="469"/>
      <c r="B12" s="472"/>
      <c r="C12" s="461" t="s">
        <v>91</v>
      </c>
      <c r="D12" s="460"/>
      <c r="E12" s="460"/>
      <c r="F12" s="460"/>
      <c r="G12" s="462"/>
      <c r="H12" s="18" t="s">
        <v>92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7.75" customHeight="1">
      <c r="A13" s="19">
        <v>3</v>
      </c>
      <c r="B13" s="16" t="s">
        <v>93</v>
      </c>
      <c r="C13" s="461" t="s">
        <v>94</v>
      </c>
      <c r="D13" s="460"/>
      <c r="E13" s="460"/>
      <c r="F13" s="460"/>
      <c r="G13" s="462"/>
      <c r="H13" s="18" t="s">
        <v>95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8" customHeight="1">
      <c r="A14" s="468">
        <v>4</v>
      </c>
      <c r="B14" s="471" t="s">
        <v>96</v>
      </c>
      <c r="C14" s="461" t="s">
        <v>97</v>
      </c>
      <c r="D14" s="460"/>
      <c r="E14" s="460"/>
      <c r="F14" s="460"/>
      <c r="G14" s="462"/>
      <c r="H14" s="18" t="s">
        <v>98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8" customHeight="1">
      <c r="A15" s="470"/>
      <c r="B15" s="473"/>
      <c r="C15" s="461" t="s">
        <v>99</v>
      </c>
      <c r="D15" s="460"/>
      <c r="E15" s="460"/>
      <c r="F15" s="460"/>
      <c r="G15" s="462"/>
      <c r="H15" s="18" t="s">
        <v>100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8" customHeight="1">
      <c r="A16" s="468">
        <v>6</v>
      </c>
      <c r="B16" s="471" t="s">
        <v>101</v>
      </c>
      <c r="C16" s="461" t="s">
        <v>102</v>
      </c>
      <c r="D16" s="460"/>
      <c r="E16" s="460"/>
      <c r="F16" s="460"/>
      <c r="G16" s="462"/>
      <c r="H16" s="18" t="s">
        <v>103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" customHeight="1">
      <c r="A17" s="469"/>
      <c r="B17" s="472"/>
      <c r="C17" s="461" t="s">
        <v>104</v>
      </c>
      <c r="D17" s="460"/>
      <c r="E17" s="460"/>
      <c r="F17" s="460"/>
      <c r="G17" s="462"/>
      <c r="H17" s="18" t="s">
        <v>105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8" customHeight="1">
      <c r="A18" s="469"/>
      <c r="B18" s="472"/>
      <c r="C18" s="461" t="s">
        <v>106</v>
      </c>
      <c r="D18" s="460"/>
      <c r="E18" s="460"/>
      <c r="F18" s="460"/>
      <c r="G18" s="462"/>
      <c r="H18" s="18" t="s">
        <v>107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8" customHeight="1">
      <c r="A19" s="529"/>
      <c r="B19" s="510"/>
      <c r="C19" s="461" t="s">
        <v>108</v>
      </c>
      <c r="D19" s="460"/>
      <c r="E19" s="460"/>
      <c r="F19" s="460"/>
      <c r="G19" s="462"/>
      <c r="H19" s="35" t="s">
        <v>109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86" customHeight="1">
      <c r="A20" s="463" t="str">
        <f>"Comments: " &amp; 'support table'!$B$7</f>
        <v>Comments: [ID_FDT_FROM]</v>
      </c>
      <c r="B20" s="464"/>
      <c r="C20" s="464"/>
      <c r="D20" s="464"/>
      <c r="E20" s="464"/>
      <c r="F20" s="464"/>
      <c r="G20" s="464"/>
      <c r="H20" s="46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0.25" customHeight="1">
      <c r="A21" s="20" t="s">
        <v>47</v>
      </c>
      <c r="B21" s="21"/>
      <c r="C21" s="22"/>
      <c r="D21" s="6"/>
      <c r="E21" s="6"/>
      <c r="F21" s="6"/>
      <c r="G21" s="23"/>
      <c r="H21" s="2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1" customHeight="1">
      <c r="A22" s="23" t="s">
        <v>48</v>
      </c>
      <c r="B22" s="23"/>
      <c r="C22" s="23"/>
      <c r="D22" s="23"/>
      <c r="E22" s="23"/>
      <c r="F22" s="23"/>
      <c r="G22" s="23" t="s">
        <v>49</v>
      </c>
      <c r="H22" s="2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5.5" customHeight="1">
      <c r="A23" s="466" t="str">
        <f>"Name: " &amp; 'support table'!$B$10</f>
        <v>Name: [REP_VENDOR]</v>
      </c>
      <c r="B23" s="458"/>
      <c r="C23" s="458"/>
      <c r="D23" s="25"/>
      <c r="E23" s="25"/>
      <c r="F23" s="2"/>
      <c r="G23" s="24" t="str">
        <f>"Name: " &amp; 'support table'!$B$13</f>
        <v>Name: [REP_CUSTOMER]</v>
      </c>
      <c r="H23" s="2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5.5" customHeight="1">
      <c r="A24" s="467" t="s">
        <v>51</v>
      </c>
      <c r="B24" s="444"/>
      <c r="C24" s="23"/>
      <c r="D24" s="25"/>
      <c r="E24" s="25"/>
      <c r="F24" s="23"/>
      <c r="G24" s="26" t="s">
        <v>51</v>
      </c>
      <c r="H24" s="2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5.5" customHeight="1">
      <c r="A25" s="457" t="s">
        <v>52</v>
      </c>
      <c r="B25" s="458"/>
      <c r="C25" s="458"/>
      <c r="D25" s="28"/>
      <c r="E25" s="28"/>
      <c r="F25" s="29"/>
      <c r="G25" s="27" t="s">
        <v>53</v>
      </c>
      <c r="H25" s="2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5.5" customHeight="1">
      <c r="A26" s="459" t="s">
        <v>54</v>
      </c>
      <c r="B26" s="460"/>
      <c r="C26" s="460"/>
      <c r="D26" s="28"/>
      <c r="E26" s="28"/>
      <c r="F26" s="29"/>
      <c r="G26" s="30" t="s">
        <v>54</v>
      </c>
      <c r="H26" s="30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/>
    <row r="228" spans="1:27" ht="15.75" customHeight="1"/>
    <row r="229" spans="1:27" ht="15.75" customHeight="1"/>
    <row r="230" spans="1:27" ht="15.75" customHeight="1"/>
    <row r="231" spans="1:27" ht="15.75" customHeight="1"/>
    <row r="232" spans="1:27" ht="15.75" customHeight="1"/>
    <row r="233" spans="1:27" ht="15.75" customHeight="1"/>
    <row r="234" spans="1:27" ht="15.75" customHeight="1"/>
    <row r="235" spans="1:27" ht="15.75" customHeight="1"/>
    <row r="236" spans="1:27" ht="15.75" customHeight="1"/>
    <row r="237" spans="1:27" ht="15.75" customHeight="1"/>
    <row r="238" spans="1:27" ht="15.75" customHeight="1"/>
    <row r="239" spans="1:27" ht="15.75" customHeight="1"/>
    <row r="240" spans="1:2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H1"/>
    <mergeCell ref="A2:H2"/>
    <mergeCell ref="C6:D6"/>
    <mergeCell ref="C4:D4"/>
    <mergeCell ref="C5:D5"/>
    <mergeCell ref="G4:H4"/>
    <mergeCell ref="G5:H5"/>
    <mergeCell ref="G6:H6"/>
    <mergeCell ref="G7:H7"/>
    <mergeCell ref="C15:G15"/>
    <mergeCell ref="C16:G16"/>
    <mergeCell ref="C17:G17"/>
    <mergeCell ref="C18:G18"/>
    <mergeCell ref="C8:G8"/>
    <mergeCell ref="C9:G9"/>
    <mergeCell ref="C10:G10"/>
    <mergeCell ref="C11:G11"/>
    <mergeCell ref="A26:C26"/>
    <mergeCell ref="C12:G12"/>
    <mergeCell ref="C13:G13"/>
    <mergeCell ref="A14:A15"/>
    <mergeCell ref="B14:B15"/>
    <mergeCell ref="C14:G14"/>
    <mergeCell ref="A16:A19"/>
    <mergeCell ref="B16:B19"/>
    <mergeCell ref="C19:G19"/>
    <mergeCell ref="A20:H20"/>
    <mergeCell ref="A23:C23"/>
    <mergeCell ref="A24:B24"/>
    <mergeCell ref="A25:C25"/>
    <mergeCell ref="A10:A12"/>
    <mergeCell ref="B10:B12"/>
  </mergeCells>
  <pageMargins left="0.7" right="0.7" top="0.75" bottom="0.75" header="0" footer="0"/>
  <pageSetup scale="8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>
    <tabColor rgb="FFFF0000"/>
    <pageSetUpPr fitToPage="1"/>
  </sheetPr>
  <dimension ref="A1:Z1000"/>
  <sheetViews>
    <sheetView showGridLines="0" workbookViewId="0">
      <selection activeCell="A36" sqref="A36:I36"/>
    </sheetView>
  </sheetViews>
  <sheetFormatPr defaultColWidth="12.7109375" defaultRowHeight="15" customHeight="1"/>
  <cols>
    <col min="1" max="1" width="4.28515625" customWidth="1"/>
    <col min="2" max="2" width="14.7109375" customWidth="1"/>
    <col min="3" max="3" width="9.7109375" customWidth="1"/>
    <col min="4" max="4" width="18.7109375" customWidth="1"/>
    <col min="5" max="5" width="14.28515625" customWidth="1"/>
    <col min="6" max="6" width="8.28515625" customWidth="1"/>
    <col min="7" max="7" width="22.140625" customWidth="1"/>
    <col min="8" max="18" width="10.28515625" customWidth="1"/>
    <col min="19" max="26" width="8" customWidth="1"/>
  </cols>
  <sheetData>
    <row r="1" spans="1:26" ht="20.25" customHeight="1">
      <c r="A1" s="482" t="s">
        <v>8</v>
      </c>
      <c r="B1" s="444"/>
      <c r="C1" s="444"/>
      <c r="D1" s="444"/>
      <c r="E1" s="444"/>
      <c r="F1" s="444"/>
      <c r="G1" s="44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483" t="s">
        <v>110</v>
      </c>
      <c r="B2" s="484"/>
      <c r="C2" s="484"/>
      <c r="D2" s="484"/>
      <c r="E2" s="484"/>
      <c r="F2" s="484"/>
      <c r="G2" s="48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7"/>
      <c r="B3" s="7"/>
      <c r="C3" s="7"/>
      <c r="D3" s="7"/>
      <c r="E3" s="7"/>
      <c r="F3" s="7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2.15" customHeight="1">
      <c r="A4" s="8"/>
      <c r="B4" s="8" t="s">
        <v>10</v>
      </c>
      <c r="C4" s="474" t="str">
        <f>'support table'!$B$2</f>
        <v>[REGION]</v>
      </c>
      <c r="D4" s="458"/>
      <c r="E4" s="8" t="s">
        <v>11</v>
      </c>
      <c r="F4" s="487" t="str">
        <f>'support table'!$B$3</f>
        <v>[NAMA_LOKASI]</v>
      </c>
      <c r="G4" s="458"/>
      <c r="H4" s="4"/>
      <c r="I4" s="4"/>
      <c r="J4" s="36"/>
      <c r="K4" s="36"/>
      <c r="L4" s="36"/>
      <c r="M4" s="36"/>
      <c r="N4" s="36"/>
      <c r="O4" s="36"/>
      <c r="P4" s="36"/>
      <c r="Q4" s="36"/>
      <c r="R4" s="36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"/>
      <c r="B5" s="8" t="s">
        <v>12</v>
      </c>
      <c r="C5" s="475" t="str">
        <f>'support table'!$B$6</f>
        <v>[NAMA_OLT]</v>
      </c>
      <c r="D5" s="460"/>
      <c r="E5" s="8" t="s">
        <v>13</v>
      </c>
      <c r="F5" s="474" t="str">
        <f>'support table'!$B$7</f>
        <v>[ID_FDT_FROM]</v>
      </c>
      <c r="G5" s="45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"/>
      <c r="B6" s="8" t="s">
        <v>14</v>
      </c>
      <c r="C6" s="522" t="str">
        <f>'support table'!$B$5</f>
        <v>[ALAMAT]</v>
      </c>
      <c r="D6" s="523"/>
      <c r="E6" s="8" t="s">
        <v>14</v>
      </c>
      <c r="F6" s="522" t="str">
        <f>'support table'!$B$5</f>
        <v>[ALAMAT]</v>
      </c>
      <c r="G6" s="523"/>
      <c r="H6" s="23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10"/>
      <c r="B7" s="11"/>
      <c r="C7" s="4"/>
      <c r="D7" s="2"/>
      <c r="E7" s="25"/>
      <c r="F7" s="37"/>
      <c r="G7" s="3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.25" customHeight="1">
      <c r="A8" s="31" t="s">
        <v>15</v>
      </c>
      <c r="B8" s="32" t="s">
        <v>16</v>
      </c>
      <c r="C8" s="476" t="s">
        <v>17</v>
      </c>
      <c r="D8" s="464"/>
      <c r="E8" s="464"/>
      <c r="F8" s="477"/>
      <c r="G8" s="15" t="s">
        <v>18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2.25" customHeight="1">
      <c r="A9" s="530">
        <v>1</v>
      </c>
      <c r="B9" s="531" t="s">
        <v>111</v>
      </c>
      <c r="C9" s="532" t="s">
        <v>112</v>
      </c>
      <c r="D9" s="458"/>
      <c r="E9" s="458"/>
      <c r="F9" s="506"/>
      <c r="G9" s="17" t="s">
        <v>113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2.5" customHeight="1">
      <c r="A10" s="469"/>
      <c r="B10" s="472"/>
      <c r="C10" s="461" t="s">
        <v>114</v>
      </c>
      <c r="D10" s="460"/>
      <c r="E10" s="460"/>
      <c r="F10" s="462"/>
      <c r="G10" s="18" t="s">
        <v>115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>
      <c r="A11" s="469"/>
      <c r="B11" s="473"/>
      <c r="C11" s="461" t="s">
        <v>116</v>
      </c>
      <c r="D11" s="460"/>
      <c r="E11" s="460"/>
      <c r="F11" s="462"/>
      <c r="G11" s="18" t="s">
        <v>117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>
      <c r="A12" s="468">
        <v>2</v>
      </c>
      <c r="B12" s="471" t="s">
        <v>118</v>
      </c>
      <c r="C12" s="461" t="s">
        <v>119</v>
      </c>
      <c r="D12" s="460"/>
      <c r="E12" s="460"/>
      <c r="F12" s="462"/>
      <c r="G12" s="18" t="s">
        <v>120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>
      <c r="A13" s="469"/>
      <c r="B13" s="472"/>
      <c r="C13" s="461" t="s">
        <v>121</v>
      </c>
      <c r="D13" s="460"/>
      <c r="E13" s="460"/>
      <c r="F13" s="462"/>
      <c r="G13" s="18" t="s">
        <v>122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2.5" customHeight="1" thickBot="1">
      <c r="A14" s="529"/>
      <c r="B14" s="510"/>
      <c r="C14" s="533" t="s">
        <v>116</v>
      </c>
      <c r="D14" s="497"/>
      <c r="E14" s="497"/>
      <c r="F14" s="534"/>
      <c r="G14" s="38" t="s">
        <v>123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9" customHeight="1" thickBot="1">
      <c r="A15" s="535" t="str">
        <f>"Comments: " &amp; 'support table'!$B$7</f>
        <v>Comments: [ID_FDT_FROM]</v>
      </c>
      <c r="B15" s="536"/>
      <c r="C15" s="536"/>
      <c r="D15" s="536"/>
      <c r="E15" s="536"/>
      <c r="F15" s="536"/>
      <c r="G15" s="53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>
      <c r="A16" s="20" t="s">
        <v>47</v>
      </c>
      <c r="B16" s="21"/>
      <c r="C16" s="22"/>
      <c r="D16" s="6"/>
      <c r="E16" s="6"/>
      <c r="F16" s="23"/>
      <c r="G16" s="2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>
      <c r="A17" s="23" t="s">
        <v>48</v>
      </c>
      <c r="B17" s="23"/>
      <c r="C17" s="23"/>
      <c r="D17" s="23"/>
      <c r="E17" s="23"/>
      <c r="F17" s="23" t="s">
        <v>49</v>
      </c>
      <c r="G17" s="2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>
      <c r="A18" s="466" t="str">
        <f>"Name: " &amp; 'support table'!$B$10</f>
        <v>Name: [REP_VENDOR]</v>
      </c>
      <c r="B18" s="458"/>
      <c r="C18" s="458"/>
      <c r="D18" s="25"/>
      <c r="E18" s="2"/>
      <c r="F18" s="24" t="str">
        <f>"Name: " &amp; 'support table'!$B$13</f>
        <v>Name: [REP_CUSTOMER]</v>
      </c>
      <c r="G18" s="2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5.5" customHeight="1">
      <c r="A19" s="467" t="s">
        <v>51</v>
      </c>
      <c r="B19" s="444"/>
      <c r="C19" s="23"/>
      <c r="D19" s="25"/>
      <c r="E19" s="23"/>
      <c r="F19" s="26" t="s">
        <v>51</v>
      </c>
      <c r="G19" s="2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5.5" customHeight="1">
      <c r="A20" s="457" t="s">
        <v>52</v>
      </c>
      <c r="B20" s="458"/>
      <c r="C20" s="458"/>
      <c r="D20" s="28"/>
      <c r="E20" s="29"/>
      <c r="F20" s="27" t="s">
        <v>53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5.5" customHeight="1">
      <c r="A21" s="459" t="s">
        <v>54</v>
      </c>
      <c r="B21" s="460"/>
      <c r="C21" s="460"/>
      <c r="D21" s="28"/>
      <c r="E21" s="29"/>
      <c r="F21" s="30" t="s">
        <v>54</v>
      </c>
      <c r="G21" s="3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G1"/>
    <mergeCell ref="A2:G2"/>
    <mergeCell ref="C6:D6"/>
    <mergeCell ref="C4:D4"/>
    <mergeCell ref="C5:D5"/>
    <mergeCell ref="F4:G4"/>
    <mergeCell ref="F5:G5"/>
    <mergeCell ref="F6:G6"/>
    <mergeCell ref="A21:C21"/>
    <mergeCell ref="C12:F12"/>
    <mergeCell ref="C13:F13"/>
    <mergeCell ref="C14:F14"/>
    <mergeCell ref="A15:G15"/>
    <mergeCell ref="A12:A14"/>
    <mergeCell ref="B12:B14"/>
    <mergeCell ref="A18:C18"/>
    <mergeCell ref="A19:B19"/>
    <mergeCell ref="A20:C20"/>
    <mergeCell ref="C8:F8"/>
    <mergeCell ref="A9:A11"/>
    <mergeCell ref="B9:B11"/>
    <mergeCell ref="C9:F9"/>
    <mergeCell ref="C10:F10"/>
    <mergeCell ref="C11:F11"/>
  </mergeCells>
  <pageMargins left="0.7" right="0.7" top="0.75" bottom="0.75" header="0" footer="0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9">
    <tabColor rgb="FFFF0000"/>
    <pageSetUpPr fitToPage="1"/>
  </sheetPr>
  <dimension ref="A1:Z1000"/>
  <sheetViews>
    <sheetView showGridLines="0" workbookViewId="0">
      <selection activeCell="K1" sqref="K1"/>
    </sheetView>
  </sheetViews>
  <sheetFormatPr defaultColWidth="12.7109375" defaultRowHeight="15" customHeight="1"/>
  <cols>
    <col min="1" max="1" width="6.7109375" customWidth="1"/>
    <col min="2" max="2" width="15" customWidth="1"/>
    <col min="3" max="3" width="8.140625" customWidth="1"/>
    <col min="4" max="4" width="18.28515625" customWidth="1"/>
    <col min="5" max="5" width="15.28515625" customWidth="1"/>
    <col min="6" max="6" width="5.85546875" customWidth="1"/>
    <col min="7" max="7" width="29.140625" customWidth="1"/>
    <col min="8" max="8" width="0.140625" customWidth="1"/>
    <col min="9" max="26" width="7" customWidth="1"/>
  </cols>
  <sheetData>
    <row r="1" spans="1:26" ht="20.25" customHeight="1">
      <c r="A1" s="482" t="s">
        <v>8</v>
      </c>
      <c r="B1" s="444"/>
      <c r="C1" s="444"/>
      <c r="D1" s="444"/>
      <c r="E1" s="444"/>
      <c r="F1" s="444"/>
      <c r="G1" s="44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483" t="s">
        <v>124</v>
      </c>
      <c r="B2" s="484"/>
      <c r="C2" s="484"/>
      <c r="D2" s="484"/>
      <c r="E2" s="484"/>
      <c r="F2" s="484"/>
      <c r="G2" s="484"/>
    </row>
    <row r="3" spans="1:26" ht="15.75" customHeight="1">
      <c r="A3" s="7"/>
      <c r="B3" s="7"/>
      <c r="C3" s="7"/>
      <c r="D3" s="7"/>
      <c r="E3" s="7"/>
      <c r="F3" s="7"/>
      <c r="G3" s="7"/>
    </row>
    <row r="4" spans="1:26" ht="24" customHeight="1">
      <c r="A4" s="8"/>
      <c r="B4" s="8" t="s">
        <v>10</v>
      </c>
      <c r="C4" s="474" t="str">
        <f>'support table'!$B$2</f>
        <v>[REGION]</v>
      </c>
      <c r="D4" s="458"/>
      <c r="E4" s="8" t="s">
        <v>11</v>
      </c>
      <c r="F4" s="487" t="str">
        <f>'support table'!$B$3</f>
        <v>[NAMA_LOKASI]</v>
      </c>
      <c r="G4" s="458"/>
      <c r="H4" s="4"/>
      <c r="I4" s="4"/>
      <c r="J4" s="36"/>
      <c r="K4" s="36"/>
      <c r="L4" s="36"/>
      <c r="M4" s="36"/>
      <c r="N4" s="36"/>
      <c r="O4" s="36"/>
      <c r="P4" s="36"/>
      <c r="Q4" s="36"/>
      <c r="R4" s="36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"/>
      <c r="B5" s="8" t="s">
        <v>12</v>
      </c>
      <c r="C5" s="475" t="str">
        <f>'support table'!$B$6</f>
        <v>[NAMA_OLT]</v>
      </c>
      <c r="D5" s="460"/>
      <c r="E5" s="8" t="s">
        <v>13</v>
      </c>
      <c r="F5" s="485" t="str">
        <f>'support table'!$B$7</f>
        <v>[ID_FDT_FROM]</v>
      </c>
      <c r="G5" s="48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"/>
      <c r="B6" s="8" t="s">
        <v>14</v>
      </c>
      <c r="C6" s="522" t="str">
        <f>'support table'!$B$5</f>
        <v>[ALAMAT]</v>
      </c>
      <c r="D6" s="523"/>
      <c r="E6" s="8" t="s">
        <v>14</v>
      </c>
      <c r="F6" s="522" t="str">
        <f>'support table'!$B$5</f>
        <v>[ALAMAT]</v>
      </c>
      <c r="G6" s="523"/>
      <c r="H6" s="23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39"/>
      <c r="B7" s="23"/>
      <c r="C7" s="23"/>
      <c r="D7" s="39"/>
      <c r="E7" s="39"/>
      <c r="F7" s="39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9.5" customHeight="1">
      <c r="A8" s="550" t="s">
        <v>125</v>
      </c>
      <c r="B8" s="464"/>
      <c r="C8" s="477"/>
      <c r="D8" s="551" t="s">
        <v>126</v>
      </c>
      <c r="E8" s="464"/>
      <c r="F8" s="477"/>
      <c r="G8" s="15" t="s">
        <v>18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>
      <c r="A9" s="552" t="s">
        <v>127</v>
      </c>
      <c r="B9" s="444"/>
      <c r="C9" s="548"/>
      <c r="D9" s="553" t="s">
        <v>128</v>
      </c>
      <c r="E9" s="458"/>
      <c r="F9" s="506"/>
      <c r="G9" s="17" t="s">
        <v>129</v>
      </c>
    </row>
    <row r="10" spans="1:26">
      <c r="A10" s="543"/>
      <c r="B10" s="444"/>
      <c r="C10" s="548"/>
      <c r="D10" s="540" t="s">
        <v>130</v>
      </c>
      <c r="E10" s="460"/>
      <c r="F10" s="462"/>
      <c r="G10" s="18" t="s">
        <v>131</v>
      </c>
    </row>
    <row r="11" spans="1:26">
      <c r="A11" s="549"/>
      <c r="B11" s="458"/>
      <c r="C11" s="506"/>
      <c r="D11" s="540" t="s">
        <v>132</v>
      </c>
      <c r="E11" s="460"/>
      <c r="F11" s="462"/>
      <c r="G11" s="18" t="s">
        <v>133</v>
      </c>
    </row>
    <row r="12" spans="1:26">
      <c r="A12" s="546" t="s">
        <v>134</v>
      </c>
      <c r="B12" s="539"/>
      <c r="C12" s="547"/>
      <c r="D12" s="540" t="s">
        <v>128</v>
      </c>
      <c r="E12" s="460"/>
      <c r="F12" s="462"/>
      <c r="G12" s="18" t="s">
        <v>135</v>
      </c>
    </row>
    <row r="13" spans="1:26">
      <c r="A13" s="543"/>
      <c r="B13" s="444"/>
      <c r="C13" s="548"/>
      <c r="D13" s="540" t="s">
        <v>130</v>
      </c>
      <c r="E13" s="460"/>
      <c r="F13" s="462"/>
      <c r="G13" s="18" t="s">
        <v>136</v>
      </c>
    </row>
    <row r="14" spans="1:26">
      <c r="A14" s="549"/>
      <c r="B14" s="458"/>
      <c r="C14" s="506"/>
      <c r="D14" s="540" t="s">
        <v>132</v>
      </c>
      <c r="E14" s="460"/>
      <c r="F14" s="462"/>
      <c r="G14" s="18" t="s">
        <v>137</v>
      </c>
    </row>
    <row r="15" spans="1:26">
      <c r="A15" s="546" t="s">
        <v>138</v>
      </c>
      <c r="B15" s="539"/>
      <c r="C15" s="547"/>
      <c r="D15" s="540" t="s">
        <v>128</v>
      </c>
      <c r="E15" s="460"/>
      <c r="F15" s="462"/>
      <c r="G15" s="18" t="s">
        <v>139</v>
      </c>
    </row>
    <row r="16" spans="1:26">
      <c r="A16" s="543"/>
      <c r="B16" s="444"/>
      <c r="C16" s="548"/>
      <c r="D16" s="540" t="s">
        <v>130</v>
      </c>
      <c r="E16" s="460"/>
      <c r="F16" s="462"/>
      <c r="G16" s="18" t="s">
        <v>140</v>
      </c>
    </row>
    <row r="17" spans="1:26">
      <c r="A17" s="549"/>
      <c r="B17" s="458"/>
      <c r="C17" s="506"/>
      <c r="D17" s="540" t="s">
        <v>132</v>
      </c>
      <c r="E17" s="460"/>
      <c r="F17" s="462"/>
      <c r="G17" s="18" t="s">
        <v>141</v>
      </c>
    </row>
    <row r="18" spans="1:26">
      <c r="A18" s="546" t="s">
        <v>142</v>
      </c>
      <c r="B18" s="539"/>
      <c r="C18" s="547"/>
      <c r="D18" s="540" t="s">
        <v>128</v>
      </c>
      <c r="E18" s="460"/>
      <c r="F18" s="462"/>
      <c r="G18" s="18" t="s">
        <v>143</v>
      </c>
    </row>
    <row r="19" spans="1:26">
      <c r="A19" s="543"/>
      <c r="B19" s="444"/>
      <c r="C19" s="548"/>
      <c r="D19" s="540" t="s">
        <v>130</v>
      </c>
      <c r="E19" s="460"/>
      <c r="F19" s="462"/>
      <c r="G19" s="18" t="s">
        <v>144</v>
      </c>
    </row>
    <row r="20" spans="1:26">
      <c r="A20" s="549"/>
      <c r="B20" s="458"/>
      <c r="C20" s="506"/>
      <c r="D20" s="540" t="s">
        <v>132</v>
      </c>
      <c r="E20" s="460"/>
      <c r="F20" s="462"/>
      <c r="G20" s="18" t="s">
        <v>145</v>
      </c>
    </row>
    <row r="21" spans="1:26" ht="15.75" customHeight="1">
      <c r="A21" s="545" t="s">
        <v>146</v>
      </c>
      <c r="B21" s="460"/>
      <c r="C21" s="462"/>
      <c r="D21" s="540" t="s">
        <v>147</v>
      </c>
      <c r="E21" s="460"/>
      <c r="F21" s="462"/>
      <c r="G21" s="18" t="s">
        <v>148</v>
      </c>
    </row>
    <row r="22" spans="1:26" ht="15.75" customHeight="1">
      <c r="A22" s="545" t="s">
        <v>149</v>
      </c>
      <c r="B22" s="460"/>
      <c r="C22" s="462"/>
      <c r="D22" s="540" t="s">
        <v>150</v>
      </c>
      <c r="E22" s="460"/>
      <c r="F22" s="462"/>
      <c r="G22" s="18" t="s">
        <v>151</v>
      </c>
    </row>
    <row r="23" spans="1:26" ht="15.75" customHeight="1">
      <c r="A23" s="545" t="s">
        <v>152</v>
      </c>
      <c r="B23" s="460"/>
      <c r="C23" s="462"/>
      <c r="D23" s="540" t="s">
        <v>153</v>
      </c>
      <c r="E23" s="460"/>
      <c r="F23" s="462"/>
      <c r="G23" s="18" t="s">
        <v>154</v>
      </c>
    </row>
    <row r="24" spans="1:26" ht="15.75" customHeight="1">
      <c r="A24" s="545" t="s">
        <v>155</v>
      </c>
      <c r="B24" s="460"/>
      <c r="C24" s="462"/>
      <c r="D24" s="540" t="s">
        <v>156</v>
      </c>
      <c r="E24" s="460"/>
      <c r="F24" s="462"/>
      <c r="G24" s="18" t="s">
        <v>157</v>
      </c>
    </row>
    <row r="25" spans="1:26" ht="15.75" customHeight="1">
      <c r="A25" s="545" t="s">
        <v>158</v>
      </c>
      <c r="B25" s="460"/>
      <c r="C25" s="462"/>
      <c r="D25" s="540" t="s">
        <v>159</v>
      </c>
      <c r="E25" s="460"/>
      <c r="F25" s="462"/>
      <c r="G25" s="18" t="s">
        <v>160</v>
      </c>
    </row>
    <row r="26" spans="1:26" ht="15.75" customHeight="1">
      <c r="A26" s="545" t="s">
        <v>101</v>
      </c>
      <c r="B26" s="460"/>
      <c r="C26" s="462"/>
      <c r="D26" s="541" t="s">
        <v>161</v>
      </c>
      <c r="E26" s="497"/>
      <c r="F26" s="534"/>
      <c r="G26" s="38" t="s">
        <v>162</v>
      </c>
    </row>
    <row r="27" spans="1:26" ht="12.75" customHeight="1">
      <c r="A27" s="542" t="str">
        <f>"Comments: " &amp; 'support table'!$B$7</f>
        <v>Comments: [ID_FDT_FROM]</v>
      </c>
      <c r="B27" s="499"/>
      <c r="C27" s="499"/>
      <c r="D27" s="499"/>
      <c r="E27" s="499"/>
      <c r="F27" s="499"/>
      <c r="G27" s="500"/>
    </row>
    <row r="28" spans="1:26" ht="38.25" customHeight="1">
      <c r="A28" s="543"/>
      <c r="B28" s="444"/>
      <c r="C28" s="444"/>
      <c r="D28" s="444"/>
      <c r="E28" s="444"/>
      <c r="F28" s="444"/>
      <c r="G28" s="544"/>
    </row>
    <row r="29" spans="1:26" ht="38.25" customHeight="1">
      <c r="A29" s="543"/>
      <c r="B29" s="444"/>
      <c r="C29" s="444"/>
      <c r="D29" s="444"/>
      <c r="E29" s="444"/>
      <c r="F29" s="444"/>
      <c r="G29" s="544"/>
    </row>
    <row r="30" spans="1:26" ht="69" customHeight="1">
      <c r="A30" s="501"/>
      <c r="B30" s="502"/>
      <c r="C30" s="502"/>
      <c r="D30" s="502"/>
      <c r="E30" s="502"/>
      <c r="F30" s="502"/>
      <c r="G30" s="503"/>
    </row>
    <row r="31" spans="1:26" ht="12.75" customHeight="1">
      <c r="A31" s="20" t="s">
        <v>47</v>
      </c>
      <c r="B31" s="23"/>
      <c r="C31" s="23"/>
      <c r="D31" s="23"/>
      <c r="E31" s="23"/>
      <c r="F31" s="23"/>
    </row>
    <row r="32" spans="1:26" ht="21" customHeight="1">
      <c r="A32" s="40" t="s">
        <v>163</v>
      </c>
      <c r="B32" s="40"/>
      <c r="C32" s="40"/>
      <c r="D32" s="41" t="s">
        <v>164</v>
      </c>
      <c r="E32" s="40"/>
      <c r="F32" s="41" t="s">
        <v>49</v>
      </c>
      <c r="G32" s="40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21" customHeight="1">
      <c r="A33" s="457" t="s">
        <v>50</v>
      </c>
      <c r="B33" s="458"/>
      <c r="C33" s="29"/>
      <c r="D33" s="27" t="str">
        <f>"Name: " &amp; 'support table'!$B$10</f>
        <v>Name: [REP_VENDOR]</v>
      </c>
      <c r="E33" s="42"/>
      <c r="F33" s="27" t="s">
        <v>50</v>
      </c>
      <c r="G33" s="27" t="str">
        <f>'support table'!$B$13</f>
        <v>[REP_CUSTOMER]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21" customHeight="1">
      <c r="A34" s="538" t="s">
        <v>51</v>
      </c>
      <c r="B34" s="539"/>
      <c r="C34" s="23"/>
      <c r="D34" s="25" t="s">
        <v>51</v>
      </c>
      <c r="E34" s="23"/>
      <c r="F34" s="26" t="s">
        <v>51</v>
      </c>
      <c r="G34" s="25"/>
    </row>
    <row r="35" spans="1:26" ht="18" customHeight="1">
      <c r="A35" s="457" t="s">
        <v>52</v>
      </c>
      <c r="B35" s="458"/>
      <c r="C35" s="29"/>
      <c r="D35" s="27" t="s">
        <v>52</v>
      </c>
      <c r="E35" s="29"/>
      <c r="F35" s="27" t="s">
        <v>53</v>
      </c>
      <c r="G35" s="27"/>
    </row>
    <row r="36" spans="1:26" ht="27" customHeight="1">
      <c r="A36" s="459" t="s">
        <v>54</v>
      </c>
      <c r="B36" s="460"/>
      <c r="C36" s="29"/>
      <c r="D36" s="30" t="s">
        <v>54</v>
      </c>
      <c r="E36" s="29"/>
      <c r="F36" s="30" t="s">
        <v>54</v>
      </c>
      <c r="G36" s="30"/>
    </row>
    <row r="37" spans="1:26" ht="12.75" customHeight="1"/>
    <row r="38" spans="1:26" ht="12.75" customHeight="1"/>
    <row r="39" spans="1:26" ht="12.75" customHeight="1"/>
    <row r="40" spans="1:26" ht="12.75" customHeight="1"/>
    <row r="41" spans="1:26" ht="12.75" customHeight="1"/>
    <row r="42" spans="1:26" ht="12.75" customHeight="1"/>
    <row r="43" spans="1:26" ht="12.75" customHeight="1"/>
    <row r="44" spans="1:26" ht="12.75" customHeight="1"/>
    <row r="45" spans="1:26" ht="12.75" customHeight="1"/>
    <row r="46" spans="1:26" ht="12.75" customHeight="1"/>
    <row r="47" spans="1:26" ht="12.75" customHeight="1"/>
    <row r="48" spans="1:2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G1"/>
    <mergeCell ref="A2:G2"/>
    <mergeCell ref="C6:D6"/>
    <mergeCell ref="C4:D4"/>
    <mergeCell ref="C5:D5"/>
    <mergeCell ref="F4:G4"/>
    <mergeCell ref="F5:G5"/>
    <mergeCell ref="F6:G6"/>
    <mergeCell ref="D11:F11"/>
    <mergeCell ref="D12:F12"/>
    <mergeCell ref="D13:F13"/>
    <mergeCell ref="D14:F14"/>
    <mergeCell ref="A8:C8"/>
    <mergeCell ref="D8:F8"/>
    <mergeCell ref="A9:C11"/>
    <mergeCell ref="D9:F9"/>
    <mergeCell ref="D10:F10"/>
    <mergeCell ref="A12:C14"/>
    <mergeCell ref="D19:F19"/>
    <mergeCell ref="D20:F20"/>
    <mergeCell ref="A18:C20"/>
    <mergeCell ref="A21:C21"/>
    <mergeCell ref="A22:C22"/>
    <mergeCell ref="A15:C17"/>
    <mergeCell ref="D15:F15"/>
    <mergeCell ref="D16:F16"/>
    <mergeCell ref="D17:F17"/>
    <mergeCell ref="D18:F18"/>
    <mergeCell ref="A33:B33"/>
    <mergeCell ref="A34:B34"/>
    <mergeCell ref="A35:B35"/>
    <mergeCell ref="A36:B36"/>
    <mergeCell ref="D21:F21"/>
    <mergeCell ref="D22:F22"/>
    <mergeCell ref="D23:F23"/>
    <mergeCell ref="D24:F24"/>
    <mergeCell ref="D25:F25"/>
    <mergeCell ref="D26:F26"/>
    <mergeCell ref="A27:G30"/>
    <mergeCell ref="A25:C25"/>
    <mergeCell ref="A26:C26"/>
    <mergeCell ref="A23:C23"/>
    <mergeCell ref="A24:C24"/>
  </mergeCells>
  <pageMargins left="0.7" right="0.7" top="0.75" bottom="0.75" header="0" footer="0"/>
  <pageSetup scale="9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0">
    <tabColor rgb="FFFF0000"/>
    <pageSetUpPr fitToPage="1"/>
  </sheetPr>
  <dimension ref="A1:Z1000"/>
  <sheetViews>
    <sheetView showGridLines="0" workbookViewId="0">
      <selection activeCell="D45" sqref="D45"/>
    </sheetView>
  </sheetViews>
  <sheetFormatPr defaultColWidth="12.7109375" defaultRowHeight="15" customHeight="1"/>
  <cols>
    <col min="1" max="1" width="5" customWidth="1"/>
    <col min="2" max="2" width="10.85546875" customWidth="1"/>
    <col min="3" max="4" width="14.28515625" customWidth="1"/>
    <col min="5" max="5" width="15.28515625" customWidth="1"/>
    <col min="6" max="6" width="9" customWidth="1"/>
    <col min="7" max="7" width="22.85546875" customWidth="1"/>
    <col min="8" max="26" width="7" customWidth="1"/>
  </cols>
  <sheetData>
    <row r="1" spans="1:26" ht="20.25" customHeight="1">
      <c r="A1" s="482" t="s">
        <v>8</v>
      </c>
      <c r="B1" s="444"/>
      <c r="C1" s="444"/>
      <c r="D1" s="444"/>
      <c r="E1" s="444"/>
      <c r="F1" s="444"/>
      <c r="G1" s="44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.75" customHeight="1">
      <c r="A2" s="564" t="s">
        <v>165</v>
      </c>
      <c r="B2" s="484"/>
      <c r="C2" s="484"/>
      <c r="D2" s="484"/>
      <c r="E2" s="484"/>
      <c r="F2" s="484"/>
      <c r="G2" s="484"/>
    </row>
    <row r="3" spans="1:26" ht="15.75" customHeight="1">
      <c r="A3" s="44"/>
      <c r="B3" s="44"/>
      <c r="C3" s="44"/>
      <c r="D3" s="44"/>
      <c r="E3" s="44"/>
      <c r="F3" s="44"/>
      <c r="G3" s="44"/>
    </row>
    <row r="4" spans="1:26" ht="24" customHeight="1">
      <c r="A4" s="8"/>
      <c r="B4" s="8" t="s">
        <v>10</v>
      </c>
      <c r="C4" s="474" t="str">
        <f>'support table'!$B$2</f>
        <v>[REGION]</v>
      </c>
      <c r="D4" s="458"/>
      <c r="E4" s="8" t="s">
        <v>11</v>
      </c>
      <c r="F4" s="487" t="str">
        <f>'support table'!$B$3</f>
        <v>[NAMA_LOKASI]</v>
      </c>
      <c r="G4" s="458"/>
      <c r="H4" s="4"/>
      <c r="I4" s="4"/>
      <c r="J4" s="36"/>
      <c r="K4" s="36"/>
      <c r="L4" s="36"/>
      <c r="M4" s="36"/>
      <c r="N4" s="36"/>
      <c r="O4" s="36"/>
      <c r="P4" s="36"/>
      <c r="Q4" s="36"/>
      <c r="R4" s="36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"/>
      <c r="B5" s="8" t="s">
        <v>12</v>
      </c>
      <c r="C5" s="475" t="str">
        <f>'support table'!$B$6</f>
        <v>[NAMA_OLT]</v>
      </c>
      <c r="D5" s="460"/>
      <c r="E5" s="8" t="s">
        <v>13</v>
      </c>
      <c r="F5" s="474" t="str">
        <f>'support table'!$B$7</f>
        <v>[ID_FDT_FROM]</v>
      </c>
      <c r="G5" s="45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"/>
      <c r="B6" s="8" t="s">
        <v>14</v>
      </c>
      <c r="C6" s="491" t="str">
        <f>'support table'!$B$5</f>
        <v>[ALAMAT]</v>
      </c>
      <c r="D6" s="492"/>
      <c r="E6" s="8" t="s">
        <v>14</v>
      </c>
      <c r="F6" s="491" t="str">
        <f>'support table'!$B$5</f>
        <v>[ALAMAT]</v>
      </c>
      <c r="G6" s="492"/>
      <c r="H6" s="23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39"/>
      <c r="B7" s="8" t="s">
        <v>166</v>
      </c>
      <c r="C7" s="474"/>
      <c r="D7" s="458"/>
      <c r="E7" s="8" t="s">
        <v>167</v>
      </c>
      <c r="F7" s="475"/>
      <c r="G7" s="460"/>
    </row>
    <row r="8" spans="1:26" ht="21" customHeight="1">
      <c r="A8" s="45"/>
      <c r="B8" s="39"/>
      <c r="C8" s="39"/>
      <c r="D8" s="39"/>
      <c r="E8" s="20"/>
      <c r="G8" s="39"/>
    </row>
    <row r="9" spans="1:26">
      <c r="A9" s="46"/>
      <c r="B9" s="47"/>
      <c r="C9" s="47"/>
      <c r="D9" s="47"/>
      <c r="E9" s="48"/>
      <c r="F9" s="49"/>
      <c r="G9" s="50"/>
    </row>
    <row r="10" spans="1:26" ht="15.75" customHeight="1">
      <c r="A10" s="51"/>
      <c r="B10" s="39" t="s">
        <v>168</v>
      </c>
      <c r="C10" s="39"/>
      <c r="D10" s="39"/>
      <c r="E10" s="20"/>
      <c r="F10" s="23"/>
      <c r="G10" s="52"/>
    </row>
    <row r="11" spans="1:26">
      <c r="A11" s="51"/>
      <c r="B11" s="39" t="s">
        <v>169</v>
      </c>
      <c r="C11" s="39" t="s">
        <v>170</v>
      </c>
      <c r="D11" s="53"/>
      <c r="E11" s="54"/>
      <c r="F11" s="23"/>
      <c r="G11" s="55"/>
    </row>
    <row r="12" spans="1:26">
      <c r="A12" s="51" t="s">
        <v>171</v>
      </c>
      <c r="B12" s="56"/>
      <c r="C12" s="57"/>
      <c r="D12" s="58"/>
      <c r="E12" s="52"/>
      <c r="F12" s="23"/>
      <c r="G12" s="59"/>
    </row>
    <row r="13" spans="1:26">
      <c r="A13" s="51" t="s">
        <v>172</v>
      </c>
      <c r="B13" s="60"/>
      <c r="C13" s="61"/>
      <c r="D13" s="62"/>
      <c r="E13" s="63"/>
      <c r="F13" s="23"/>
      <c r="G13" s="59"/>
    </row>
    <row r="14" spans="1:26" ht="15.75" customHeight="1">
      <c r="A14" s="51" t="s">
        <v>173</v>
      </c>
      <c r="B14" s="64"/>
      <c r="C14" s="61"/>
      <c r="D14" s="65"/>
      <c r="E14" s="66"/>
      <c r="F14" s="23"/>
      <c r="G14" s="59"/>
    </row>
    <row r="15" spans="1:26">
      <c r="A15" s="51"/>
      <c r="B15" s="39"/>
      <c r="C15" s="39"/>
      <c r="D15" s="39"/>
      <c r="E15" s="20"/>
      <c r="F15" s="23"/>
      <c r="G15" s="55"/>
    </row>
    <row r="16" spans="1:26" ht="15.75" customHeight="1">
      <c r="A16" s="65" t="s">
        <v>174</v>
      </c>
      <c r="B16" s="67"/>
      <c r="C16" s="67"/>
      <c r="D16" s="67"/>
      <c r="E16" s="68"/>
      <c r="F16" s="69"/>
      <c r="G16" s="70"/>
    </row>
    <row r="17" spans="1:26" ht="21" customHeight="1">
      <c r="A17" s="550" t="s">
        <v>125</v>
      </c>
      <c r="B17" s="464"/>
      <c r="C17" s="477"/>
      <c r="D17" s="551" t="s">
        <v>126</v>
      </c>
      <c r="E17" s="464"/>
      <c r="F17" s="477"/>
      <c r="G17" s="15" t="s">
        <v>18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562" t="s">
        <v>175</v>
      </c>
      <c r="B18" s="480"/>
      <c r="C18" s="481"/>
      <c r="D18" s="563" t="s">
        <v>176</v>
      </c>
      <c r="E18" s="480"/>
      <c r="F18" s="481"/>
      <c r="G18" s="71" t="s">
        <v>177</v>
      </c>
    </row>
    <row r="19" spans="1:26">
      <c r="A19" s="560" t="s">
        <v>178</v>
      </c>
      <c r="B19" s="460"/>
      <c r="C19" s="462"/>
      <c r="D19" s="559" t="s">
        <v>179</v>
      </c>
      <c r="E19" s="460"/>
      <c r="F19" s="462"/>
      <c r="G19" s="18" t="s">
        <v>180</v>
      </c>
    </row>
    <row r="20" spans="1:26">
      <c r="A20" s="561" t="s">
        <v>181</v>
      </c>
      <c r="B20" s="539"/>
      <c r="C20" s="547"/>
      <c r="D20" s="559" t="s">
        <v>182</v>
      </c>
      <c r="E20" s="460"/>
      <c r="F20" s="462"/>
      <c r="G20" s="18" t="s">
        <v>183</v>
      </c>
    </row>
    <row r="21" spans="1:26" ht="15.75" customHeight="1">
      <c r="A21" s="543"/>
      <c r="B21" s="444"/>
      <c r="C21" s="548"/>
      <c r="D21" s="559" t="s">
        <v>184</v>
      </c>
      <c r="E21" s="460"/>
      <c r="F21" s="462"/>
      <c r="G21" s="18" t="s">
        <v>185</v>
      </c>
    </row>
    <row r="22" spans="1:26" ht="15.75" customHeight="1">
      <c r="A22" s="549"/>
      <c r="B22" s="458"/>
      <c r="C22" s="506"/>
      <c r="D22" s="559" t="s">
        <v>186</v>
      </c>
      <c r="E22" s="460"/>
      <c r="F22" s="462"/>
      <c r="G22" s="18" t="s">
        <v>187</v>
      </c>
    </row>
    <row r="23" spans="1:26" ht="15.75" customHeight="1">
      <c r="A23" s="561" t="s">
        <v>188</v>
      </c>
      <c r="B23" s="539"/>
      <c r="C23" s="547"/>
      <c r="D23" s="559" t="s">
        <v>182</v>
      </c>
      <c r="E23" s="460"/>
      <c r="F23" s="462"/>
      <c r="G23" s="18" t="s">
        <v>189</v>
      </c>
    </row>
    <row r="24" spans="1:26" ht="15.75" customHeight="1">
      <c r="A24" s="543"/>
      <c r="B24" s="444"/>
      <c r="C24" s="548"/>
      <c r="D24" s="559" t="s">
        <v>190</v>
      </c>
      <c r="E24" s="460"/>
      <c r="F24" s="462"/>
      <c r="G24" s="18" t="s">
        <v>191</v>
      </c>
    </row>
    <row r="25" spans="1:26" ht="15.75" customHeight="1">
      <c r="A25" s="549"/>
      <c r="B25" s="458"/>
      <c r="C25" s="506"/>
      <c r="D25" s="559" t="s">
        <v>186</v>
      </c>
      <c r="E25" s="460"/>
      <c r="F25" s="462"/>
      <c r="G25" s="18" t="s">
        <v>192</v>
      </c>
    </row>
    <row r="26" spans="1:26" ht="15.75" customHeight="1">
      <c r="A26" s="555" t="s">
        <v>193</v>
      </c>
      <c r="B26" s="460"/>
      <c r="C26" s="462"/>
      <c r="D26" s="559" t="s">
        <v>161</v>
      </c>
      <c r="E26" s="460"/>
      <c r="F26" s="462"/>
      <c r="G26" s="18" t="s">
        <v>194</v>
      </c>
    </row>
    <row r="27" spans="1:26" ht="15.75" customHeight="1">
      <c r="A27" s="560" t="s">
        <v>195</v>
      </c>
      <c r="B27" s="460"/>
      <c r="C27" s="462"/>
      <c r="D27" s="559" t="s">
        <v>196</v>
      </c>
      <c r="E27" s="460"/>
      <c r="F27" s="462"/>
      <c r="G27" s="18" t="s">
        <v>197</v>
      </c>
    </row>
    <row r="28" spans="1:26" ht="15.75" customHeight="1">
      <c r="A28" s="554" t="s">
        <v>198</v>
      </c>
      <c r="B28" s="539"/>
      <c r="C28" s="547"/>
      <c r="D28" s="559" t="s">
        <v>199</v>
      </c>
      <c r="E28" s="460"/>
      <c r="F28" s="462"/>
      <c r="G28" s="18" t="s">
        <v>200</v>
      </c>
    </row>
    <row r="29" spans="1:26" ht="15.75" customHeight="1">
      <c r="A29" s="543"/>
      <c r="B29" s="444"/>
      <c r="C29" s="548"/>
      <c r="D29" s="559" t="s">
        <v>184</v>
      </c>
      <c r="E29" s="460"/>
      <c r="F29" s="462"/>
      <c r="G29" s="18" t="s">
        <v>201</v>
      </c>
    </row>
    <row r="30" spans="1:26" ht="15.75" customHeight="1">
      <c r="A30" s="543"/>
      <c r="B30" s="444"/>
      <c r="C30" s="548"/>
      <c r="D30" s="559" t="s">
        <v>202</v>
      </c>
      <c r="E30" s="460"/>
      <c r="F30" s="462"/>
      <c r="G30" s="18" t="s">
        <v>203</v>
      </c>
    </row>
    <row r="31" spans="1:26" ht="15.75" customHeight="1">
      <c r="A31" s="543"/>
      <c r="B31" s="444"/>
      <c r="C31" s="548"/>
      <c r="D31" s="559" t="s">
        <v>204</v>
      </c>
      <c r="E31" s="460"/>
      <c r="F31" s="462"/>
      <c r="G31" s="18" t="s">
        <v>205</v>
      </c>
    </row>
    <row r="32" spans="1:26" ht="15.75" customHeight="1">
      <c r="A32" s="555" t="s">
        <v>206</v>
      </c>
      <c r="B32" s="460"/>
      <c r="C32" s="462"/>
      <c r="D32" s="559" t="s">
        <v>207</v>
      </c>
      <c r="E32" s="460"/>
      <c r="F32" s="462"/>
      <c r="G32" s="18" t="s">
        <v>208</v>
      </c>
    </row>
    <row r="33" spans="1:26" ht="28.5" customHeight="1">
      <c r="A33" s="545" t="s">
        <v>209</v>
      </c>
      <c r="B33" s="460"/>
      <c r="C33" s="462"/>
      <c r="D33" s="558" t="s">
        <v>210</v>
      </c>
      <c r="E33" s="460"/>
      <c r="F33" s="462"/>
      <c r="G33" s="18" t="s">
        <v>211</v>
      </c>
    </row>
    <row r="34" spans="1:26" ht="15.75" customHeight="1">
      <c r="A34" s="556" t="str">
        <f>"Comments: " &amp; 'support table'!$B$7</f>
        <v>Comments: [ID_FDT_FROM]</v>
      </c>
      <c r="B34" s="539"/>
      <c r="C34" s="539"/>
      <c r="D34" s="539"/>
      <c r="E34" s="539"/>
      <c r="F34" s="539"/>
      <c r="G34" s="557"/>
    </row>
    <row r="35" spans="1:26" ht="15.75" customHeight="1">
      <c r="A35" s="543"/>
      <c r="B35" s="444"/>
      <c r="C35" s="444"/>
      <c r="D35" s="444"/>
      <c r="E35" s="444"/>
      <c r="F35" s="444"/>
      <c r="G35" s="544"/>
    </row>
    <row r="36" spans="1:26" ht="15.75" customHeight="1">
      <c r="A36" s="543"/>
      <c r="B36" s="444"/>
      <c r="C36" s="444"/>
      <c r="D36" s="444"/>
      <c r="E36" s="444"/>
      <c r="F36" s="444"/>
      <c r="G36" s="544"/>
    </row>
    <row r="37" spans="1:26" ht="96" customHeight="1">
      <c r="A37" s="501"/>
      <c r="B37" s="502"/>
      <c r="C37" s="502"/>
      <c r="D37" s="502"/>
      <c r="E37" s="502"/>
      <c r="F37" s="502"/>
      <c r="G37" s="503"/>
    </row>
    <row r="38" spans="1:26" ht="18" customHeight="1">
      <c r="A38" s="20" t="s">
        <v>47</v>
      </c>
      <c r="B38" s="21"/>
      <c r="C38" s="22"/>
      <c r="D38" s="6"/>
      <c r="E38" s="6"/>
      <c r="F38" s="23"/>
      <c r="G38" s="23"/>
    </row>
    <row r="39" spans="1:26" ht="21" customHeight="1">
      <c r="A39" s="23" t="s">
        <v>48</v>
      </c>
      <c r="B39" s="23"/>
      <c r="C39" s="23"/>
      <c r="D39" s="23"/>
      <c r="E39" s="23"/>
      <c r="F39" s="23" t="s">
        <v>49</v>
      </c>
      <c r="G39" s="2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5.5" customHeight="1">
      <c r="A40" s="466" t="str">
        <f>"Name: " &amp; 'support table'!$B$10</f>
        <v>Name: [REP_VENDOR]</v>
      </c>
      <c r="B40" s="458"/>
      <c r="C40" s="458"/>
      <c r="D40" s="25"/>
      <c r="E40" s="2"/>
      <c r="F40" s="24" t="str">
        <f>"Name: " &amp; 'support table'!$B$13</f>
        <v>Name: [REP_CUSTOMER]</v>
      </c>
      <c r="G40" s="2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>
      <c r="A41" s="467" t="s">
        <v>51</v>
      </c>
      <c r="B41" s="444"/>
      <c r="C41" s="23"/>
      <c r="D41" s="25"/>
      <c r="E41" s="23"/>
      <c r="F41" s="26" t="s">
        <v>51</v>
      </c>
      <c r="G41" s="25"/>
    </row>
    <row r="42" spans="1:26" ht="30" customHeight="1">
      <c r="A42" s="457" t="s">
        <v>52</v>
      </c>
      <c r="B42" s="458"/>
      <c r="C42" s="458"/>
      <c r="D42" s="28"/>
      <c r="E42" s="29"/>
      <c r="F42" s="27" t="s">
        <v>53</v>
      </c>
      <c r="G42" s="27"/>
    </row>
    <row r="43" spans="1:26" ht="27" customHeight="1">
      <c r="A43" s="459" t="s">
        <v>54</v>
      </c>
      <c r="B43" s="460"/>
      <c r="C43" s="460"/>
      <c r="D43" s="28"/>
      <c r="E43" s="29"/>
      <c r="F43" s="30" t="s">
        <v>54</v>
      </c>
      <c r="G43" s="30"/>
    </row>
    <row r="44" spans="1:26" ht="12.75" customHeight="1"/>
    <row r="45" spans="1:26" ht="12.75" customHeight="1"/>
    <row r="46" spans="1:26" ht="12.75" customHeight="1"/>
    <row r="47" spans="1:26" ht="12.75" customHeight="1"/>
    <row r="48" spans="1:2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G1"/>
    <mergeCell ref="A2:G2"/>
    <mergeCell ref="F4:G4"/>
    <mergeCell ref="F5:G5"/>
    <mergeCell ref="F6:G6"/>
    <mergeCell ref="C6:D6"/>
    <mergeCell ref="C4:D4"/>
    <mergeCell ref="C5:D5"/>
    <mergeCell ref="C7:D7"/>
    <mergeCell ref="F7:G7"/>
    <mergeCell ref="A17:C17"/>
    <mergeCell ref="D17:F17"/>
    <mergeCell ref="A18:C18"/>
    <mergeCell ref="D18:F18"/>
    <mergeCell ref="D23:F23"/>
    <mergeCell ref="D24:F24"/>
    <mergeCell ref="A23:C25"/>
    <mergeCell ref="A26:C26"/>
    <mergeCell ref="A27:C27"/>
    <mergeCell ref="D25:F25"/>
    <mergeCell ref="D26:F26"/>
    <mergeCell ref="D27:F27"/>
    <mergeCell ref="A19:C19"/>
    <mergeCell ref="D19:F19"/>
    <mergeCell ref="A20:C22"/>
    <mergeCell ref="D20:F20"/>
    <mergeCell ref="D21:F21"/>
    <mergeCell ref="D22:F22"/>
    <mergeCell ref="A42:C42"/>
    <mergeCell ref="A43:C43"/>
    <mergeCell ref="A28:C31"/>
    <mergeCell ref="A32:C32"/>
    <mergeCell ref="A33:C33"/>
    <mergeCell ref="A34:G37"/>
    <mergeCell ref="A40:C40"/>
    <mergeCell ref="A41:B41"/>
    <mergeCell ref="D33:F33"/>
    <mergeCell ref="D31:F31"/>
    <mergeCell ref="D32:F32"/>
    <mergeCell ref="D28:F28"/>
    <mergeCell ref="D29:F29"/>
    <mergeCell ref="D30:F30"/>
  </mergeCells>
  <pageMargins left="0.7" right="0.7" top="0.75" bottom="0.75" header="0" footer="0"/>
  <pageSetup scale="8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>
    <tabColor rgb="FFFF0000"/>
    <pageSetUpPr fitToPage="1"/>
  </sheetPr>
  <dimension ref="A1:Z1000"/>
  <sheetViews>
    <sheetView showGridLines="0" topLeftCell="A22" workbookViewId="0">
      <selection activeCell="F4" sqref="F4:G4"/>
    </sheetView>
  </sheetViews>
  <sheetFormatPr defaultColWidth="12.7109375" defaultRowHeight="15" customHeight="1"/>
  <cols>
    <col min="1" max="1" width="5" customWidth="1"/>
    <col min="2" max="2" width="10.85546875" customWidth="1"/>
    <col min="3" max="3" width="14.28515625" customWidth="1"/>
    <col min="4" max="4" width="16.7109375" customWidth="1"/>
    <col min="5" max="5" width="15.7109375" customWidth="1"/>
    <col min="6" max="6" width="9" customWidth="1"/>
    <col min="7" max="7" width="22.85546875" customWidth="1"/>
    <col min="8" max="26" width="7" customWidth="1"/>
  </cols>
  <sheetData>
    <row r="1" spans="1:26" ht="20.25" customHeight="1">
      <c r="A1" s="482" t="s">
        <v>8</v>
      </c>
      <c r="B1" s="444"/>
      <c r="C1" s="444"/>
      <c r="D1" s="444"/>
      <c r="E1" s="444"/>
      <c r="F1" s="444"/>
      <c r="G1" s="44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0.75" customHeight="1">
      <c r="A2" s="564" t="s">
        <v>212</v>
      </c>
      <c r="B2" s="484"/>
      <c r="C2" s="484"/>
      <c r="D2" s="484"/>
      <c r="E2" s="484"/>
      <c r="F2" s="484"/>
      <c r="G2" s="484"/>
    </row>
    <row r="3" spans="1:26" ht="15.75" customHeight="1">
      <c r="A3" s="44"/>
      <c r="B3" s="44"/>
      <c r="C3" s="44"/>
      <c r="D3" s="44"/>
      <c r="E3" s="44"/>
      <c r="F3" s="44"/>
      <c r="G3" s="44"/>
    </row>
    <row r="4" spans="1:26" ht="23.45" customHeight="1">
      <c r="A4" s="8"/>
      <c r="B4" s="8" t="s">
        <v>10</v>
      </c>
      <c r="C4" s="474" t="str">
        <f>'support table'!$B$2</f>
        <v>[REGION]</v>
      </c>
      <c r="D4" s="458"/>
      <c r="E4" s="8" t="s">
        <v>11</v>
      </c>
      <c r="F4" s="487" t="str">
        <f>'support table'!$B$3</f>
        <v>[NAMA_LOKASI]</v>
      </c>
      <c r="G4" s="458"/>
      <c r="H4" s="4"/>
      <c r="I4" s="4"/>
      <c r="J4" s="36"/>
      <c r="K4" s="36"/>
      <c r="L4" s="36"/>
      <c r="M4" s="36"/>
      <c r="N4" s="36"/>
      <c r="O4" s="36"/>
      <c r="P4" s="36"/>
      <c r="Q4" s="36"/>
      <c r="R4" s="36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"/>
      <c r="B5" s="8" t="s">
        <v>12</v>
      </c>
      <c r="C5" s="475" t="str">
        <f>'support table'!$B$6</f>
        <v>[NAMA_OLT]</v>
      </c>
      <c r="D5" s="460"/>
      <c r="E5" s="8" t="s">
        <v>13</v>
      </c>
      <c r="F5" s="474" t="str">
        <f>'support table'!$B$7</f>
        <v>[ID_FDT_FROM]</v>
      </c>
      <c r="G5" s="45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"/>
      <c r="B6" s="8" t="s">
        <v>14</v>
      </c>
      <c r="C6" s="491" t="str">
        <f>'support table'!$B$5</f>
        <v>[ALAMAT]</v>
      </c>
      <c r="D6" s="492"/>
      <c r="E6" s="8" t="s">
        <v>14</v>
      </c>
      <c r="F6" s="491" t="str">
        <f>'support table'!$B$5</f>
        <v>[ALAMAT]</v>
      </c>
      <c r="G6" s="492"/>
      <c r="H6" s="23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39"/>
      <c r="B7" s="8" t="s">
        <v>166</v>
      </c>
      <c r="C7" s="474"/>
      <c r="D7" s="458"/>
      <c r="E7" s="8" t="s">
        <v>167</v>
      </c>
      <c r="F7" s="475"/>
      <c r="G7" s="460"/>
    </row>
    <row r="8" spans="1:26" ht="21" customHeight="1">
      <c r="A8" s="45"/>
      <c r="B8" s="39"/>
      <c r="C8" s="39"/>
      <c r="D8" s="39"/>
      <c r="E8" s="20"/>
      <c r="G8" s="39"/>
    </row>
    <row r="9" spans="1:26">
      <c r="A9" s="46"/>
      <c r="B9" s="47"/>
      <c r="C9" s="47"/>
      <c r="D9" s="47"/>
      <c r="E9" s="48"/>
      <c r="F9" s="49"/>
      <c r="G9" s="50"/>
    </row>
    <row r="10" spans="1:26" ht="15.75" customHeight="1">
      <c r="A10" s="51"/>
      <c r="B10" s="39" t="s">
        <v>168</v>
      </c>
      <c r="C10" s="39"/>
      <c r="D10" s="39"/>
      <c r="E10" s="20"/>
      <c r="F10" s="23"/>
      <c r="G10" s="52"/>
    </row>
    <row r="11" spans="1:26">
      <c r="A11" s="51"/>
      <c r="B11" s="39" t="s">
        <v>169</v>
      </c>
      <c r="C11" s="39" t="s">
        <v>170</v>
      </c>
      <c r="D11" s="53"/>
      <c r="E11" s="54"/>
      <c r="F11" s="23"/>
      <c r="G11" s="55"/>
    </row>
    <row r="12" spans="1:26">
      <c r="A12" s="51" t="s">
        <v>171</v>
      </c>
      <c r="B12" s="56"/>
      <c r="C12" s="57"/>
      <c r="D12" s="58"/>
      <c r="E12" s="52"/>
      <c r="F12" s="23"/>
      <c r="G12" s="59"/>
    </row>
    <row r="13" spans="1:26">
      <c r="A13" s="51" t="s">
        <v>172</v>
      </c>
      <c r="B13" s="60"/>
      <c r="C13" s="61"/>
      <c r="D13" s="62"/>
      <c r="E13" s="63"/>
      <c r="F13" s="23"/>
      <c r="G13" s="59"/>
    </row>
    <row r="14" spans="1:26" ht="15.75" customHeight="1">
      <c r="A14" s="51" t="s">
        <v>173</v>
      </c>
      <c r="B14" s="64"/>
      <c r="C14" s="61"/>
      <c r="D14" s="65"/>
      <c r="E14" s="66"/>
      <c r="F14" s="23"/>
      <c r="G14" s="59"/>
    </row>
    <row r="15" spans="1:26">
      <c r="A15" s="51"/>
      <c r="B15" s="39"/>
      <c r="C15" s="39"/>
      <c r="D15" s="39"/>
      <c r="E15" s="20"/>
      <c r="F15" s="23"/>
      <c r="G15" s="55"/>
    </row>
    <row r="16" spans="1:26" ht="15.75" customHeight="1">
      <c r="A16" s="65" t="s">
        <v>174</v>
      </c>
      <c r="B16" s="67"/>
      <c r="C16" s="67"/>
      <c r="D16" s="67"/>
      <c r="E16" s="68"/>
      <c r="F16" s="69"/>
      <c r="G16" s="70"/>
    </row>
    <row r="17" spans="1:26" ht="21" customHeight="1">
      <c r="A17" s="550" t="s">
        <v>125</v>
      </c>
      <c r="B17" s="464"/>
      <c r="C17" s="477"/>
      <c r="D17" s="551" t="s">
        <v>126</v>
      </c>
      <c r="E17" s="464"/>
      <c r="F17" s="477"/>
      <c r="G17" s="15" t="s">
        <v>18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562" t="s">
        <v>175</v>
      </c>
      <c r="B18" s="480"/>
      <c r="C18" s="481"/>
      <c r="D18" s="563" t="s">
        <v>176</v>
      </c>
      <c r="E18" s="480"/>
      <c r="F18" s="481"/>
      <c r="G18" s="71" t="s">
        <v>213</v>
      </c>
    </row>
    <row r="19" spans="1:26">
      <c r="A19" s="560" t="s">
        <v>178</v>
      </c>
      <c r="B19" s="460"/>
      <c r="C19" s="462"/>
      <c r="D19" s="559" t="s">
        <v>179</v>
      </c>
      <c r="E19" s="460"/>
      <c r="F19" s="462"/>
      <c r="G19" s="18" t="s">
        <v>214</v>
      </c>
    </row>
    <row r="20" spans="1:26">
      <c r="A20" s="561" t="s">
        <v>181</v>
      </c>
      <c r="B20" s="539"/>
      <c r="C20" s="547"/>
      <c r="D20" s="559" t="s">
        <v>182</v>
      </c>
      <c r="E20" s="460"/>
      <c r="F20" s="462"/>
      <c r="G20" s="18" t="s">
        <v>215</v>
      </c>
    </row>
    <row r="21" spans="1:26" ht="15.75" customHeight="1">
      <c r="A21" s="543"/>
      <c r="B21" s="444"/>
      <c r="C21" s="548"/>
      <c r="D21" s="559" t="s">
        <v>184</v>
      </c>
      <c r="E21" s="460"/>
      <c r="F21" s="462"/>
      <c r="G21" s="18" t="s">
        <v>216</v>
      </c>
    </row>
    <row r="22" spans="1:26" ht="15.75" customHeight="1">
      <c r="A22" s="549"/>
      <c r="B22" s="458"/>
      <c r="C22" s="506"/>
      <c r="D22" s="559" t="s">
        <v>186</v>
      </c>
      <c r="E22" s="460"/>
      <c r="F22" s="462"/>
      <c r="G22" s="18" t="s">
        <v>217</v>
      </c>
    </row>
    <row r="23" spans="1:26" ht="15.75" customHeight="1">
      <c r="A23" s="561" t="s">
        <v>188</v>
      </c>
      <c r="B23" s="539"/>
      <c r="C23" s="547"/>
      <c r="D23" s="559" t="s">
        <v>182</v>
      </c>
      <c r="E23" s="460"/>
      <c r="F23" s="462"/>
      <c r="G23" s="18" t="s">
        <v>218</v>
      </c>
    </row>
    <row r="24" spans="1:26" ht="15.75" customHeight="1">
      <c r="A24" s="543"/>
      <c r="B24" s="444"/>
      <c r="C24" s="548"/>
      <c r="D24" s="559" t="s">
        <v>190</v>
      </c>
      <c r="E24" s="460"/>
      <c r="F24" s="462"/>
      <c r="G24" s="18" t="s">
        <v>219</v>
      </c>
    </row>
    <row r="25" spans="1:26" ht="15.75" customHeight="1">
      <c r="A25" s="549"/>
      <c r="B25" s="458"/>
      <c r="C25" s="506"/>
      <c r="D25" s="559" t="s">
        <v>186</v>
      </c>
      <c r="E25" s="460"/>
      <c r="F25" s="462"/>
      <c r="G25" s="18" t="s">
        <v>220</v>
      </c>
    </row>
    <row r="26" spans="1:26" ht="15.75" customHeight="1">
      <c r="A26" s="555" t="s">
        <v>193</v>
      </c>
      <c r="B26" s="460"/>
      <c r="C26" s="462"/>
      <c r="D26" s="559" t="s">
        <v>161</v>
      </c>
      <c r="E26" s="460"/>
      <c r="F26" s="462"/>
      <c r="G26" s="18" t="s">
        <v>221</v>
      </c>
    </row>
    <row r="27" spans="1:26" ht="15.75" customHeight="1">
      <c r="A27" s="560" t="s">
        <v>195</v>
      </c>
      <c r="B27" s="460"/>
      <c r="C27" s="462"/>
      <c r="D27" s="559" t="s">
        <v>196</v>
      </c>
      <c r="E27" s="460"/>
      <c r="F27" s="462"/>
      <c r="G27" s="18" t="s">
        <v>222</v>
      </c>
    </row>
    <row r="28" spans="1:26" ht="15.75" customHeight="1">
      <c r="A28" s="554" t="s">
        <v>198</v>
      </c>
      <c r="B28" s="539"/>
      <c r="C28" s="547"/>
      <c r="D28" s="559" t="s">
        <v>199</v>
      </c>
      <c r="E28" s="460"/>
      <c r="F28" s="462"/>
      <c r="G28" s="18" t="s">
        <v>223</v>
      </c>
    </row>
    <row r="29" spans="1:26" ht="15.75" customHeight="1">
      <c r="A29" s="543"/>
      <c r="B29" s="444"/>
      <c r="C29" s="548"/>
      <c r="D29" s="559" t="s">
        <v>184</v>
      </c>
      <c r="E29" s="460"/>
      <c r="F29" s="462"/>
      <c r="G29" s="18" t="s">
        <v>224</v>
      </c>
    </row>
    <row r="30" spans="1:26" ht="15.75" customHeight="1">
      <c r="A30" s="543"/>
      <c r="B30" s="444"/>
      <c r="C30" s="548"/>
      <c r="D30" s="559" t="s">
        <v>202</v>
      </c>
      <c r="E30" s="460"/>
      <c r="F30" s="462"/>
      <c r="G30" s="18" t="s">
        <v>225</v>
      </c>
    </row>
    <row r="31" spans="1:26" ht="15.75" customHeight="1">
      <c r="A31" s="543"/>
      <c r="B31" s="444"/>
      <c r="C31" s="548"/>
      <c r="D31" s="559" t="s">
        <v>204</v>
      </c>
      <c r="E31" s="460"/>
      <c r="F31" s="462"/>
      <c r="G31" s="18" t="s">
        <v>226</v>
      </c>
    </row>
    <row r="32" spans="1:26" ht="15.75" customHeight="1">
      <c r="A32" s="555" t="s">
        <v>206</v>
      </c>
      <c r="B32" s="460"/>
      <c r="C32" s="462"/>
      <c r="D32" s="559" t="s">
        <v>207</v>
      </c>
      <c r="E32" s="460"/>
      <c r="F32" s="462"/>
      <c r="G32" s="18" t="s">
        <v>227</v>
      </c>
    </row>
    <row r="33" spans="1:26" ht="28.5" customHeight="1">
      <c r="A33" s="545" t="s">
        <v>209</v>
      </c>
      <c r="B33" s="460"/>
      <c r="C33" s="462"/>
      <c r="D33" s="558" t="s">
        <v>210</v>
      </c>
      <c r="E33" s="460"/>
      <c r="F33" s="462"/>
      <c r="G33" s="18" t="s">
        <v>228</v>
      </c>
    </row>
    <row r="34" spans="1:26" ht="15.75" customHeight="1">
      <c r="A34" s="556" t="str">
        <f>"Comments: " &amp; 'support table'!$B$7</f>
        <v>Comments: [ID_FDT_FROM]</v>
      </c>
      <c r="B34" s="539"/>
      <c r="C34" s="539"/>
      <c r="D34" s="539"/>
      <c r="E34" s="539"/>
      <c r="F34" s="539"/>
      <c r="G34" s="557"/>
    </row>
    <row r="35" spans="1:26" ht="15.75" customHeight="1">
      <c r="A35" s="543"/>
      <c r="B35" s="444"/>
      <c r="C35" s="444"/>
      <c r="D35" s="444"/>
      <c r="E35" s="444"/>
      <c r="F35" s="444"/>
      <c r="G35" s="544"/>
    </row>
    <row r="36" spans="1:26" ht="15.75" customHeight="1">
      <c r="A36" s="543"/>
      <c r="B36" s="444"/>
      <c r="C36" s="444"/>
      <c r="D36" s="444"/>
      <c r="E36" s="444"/>
      <c r="F36" s="444"/>
      <c r="G36" s="544"/>
    </row>
    <row r="37" spans="1:26" ht="55.15" customHeight="1">
      <c r="A37" s="501"/>
      <c r="B37" s="502"/>
      <c r="C37" s="502"/>
      <c r="D37" s="502"/>
      <c r="E37" s="502"/>
      <c r="F37" s="502"/>
      <c r="G37" s="503"/>
    </row>
    <row r="38" spans="1:26" ht="18" customHeight="1">
      <c r="A38" s="20" t="s">
        <v>47</v>
      </c>
      <c r="B38" s="21"/>
      <c r="C38" s="22"/>
      <c r="D38" s="6"/>
      <c r="E38" s="6"/>
      <c r="F38" s="23"/>
      <c r="G38" s="23"/>
    </row>
    <row r="39" spans="1:26" ht="21" customHeight="1">
      <c r="A39" s="23" t="s">
        <v>48</v>
      </c>
      <c r="B39" s="23"/>
      <c r="C39" s="23"/>
      <c r="D39" s="23"/>
      <c r="E39" s="23"/>
      <c r="F39" s="23" t="s">
        <v>49</v>
      </c>
      <c r="G39" s="2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5.5" customHeight="1">
      <c r="A40" s="466" t="str">
        <f>"Name: " &amp; 'support table'!$B$10</f>
        <v>Name: [REP_VENDOR]</v>
      </c>
      <c r="B40" s="458"/>
      <c r="C40" s="458"/>
      <c r="D40" s="25"/>
      <c r="E40" s="2"/>
      <c r="F40" s="24" t="str">
        <f>"Name: " &amp; 'support table'!$B$13</f>
        <v>Name: [REP_CUSTOMER]</v>
      </c>
      <c r="G40" s="2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>
      <c r="A41" s="467" t="s">
        <v>51</v>
      </c>
      <c r="B41" s="444"/>
      <c r="C41" s="23"/>
      <c r="D41" s="25"/>
      <c r="E41" s="23"/>
      <c r="F41" s="26" t="s">
        <v>51</v>
      </c>
      <c r="G41" s="25"/>
    </row>
    <row r="42" spans="1:26" ht="18" customHeight="1">
      <c r="A42" s="457" t="s">
        <v>52</v>
      </c>
      <c r="B42" s="458"/>
      <c r="C42" s="458"/>
      <c r="D42" s="28"/>
      <c r="E42" s="29"/>
      <c r="F42" s="27" t="s">
        <v>53</v>
      </c>
      <c r="G42" s="27"/>
    </row>
    <row r="43" spans="1:26" ht="27" customHeight="1">
      <c r="A43" s="459" t="s">
        <v>54</v>
      </c>
      <c r="B43" s="460"/>
      <c r="C43" s="460"/>
      <c r="D43" s="28"/>
      <c r="E43" s="29"/>
      <c r="F43" s="30" t="s">
        <v>54</v>
      </c>
      <c r="G43" s="30"/>
    </row>
    <row r="44" spans="1:26" ht="12.75" customHeight="1"/>
    <row r="45" spans="1:26" ht="12.75" customHeight="1"/>
    <row r="46" spans="1:26" ht="12.75" customHeight="1"/>
    <row r="47" spans="1:26" ht="12.75" customHeight="1"/>
    <row r="48" spans="1:2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G1"/>
    <mergeCell ref="A2:G2"/>
    <mergeCell ref="C6:D6"/>
    <mergeCell ref="C4:D4"/>
    <mergeCell ref="C5:D5"/>
    <mergeCell ref="F4:G4"/>
    <mergeCell ref="F5:G5"/>
    <mergeCell ref="F6:G6"/>
    <mergeCell ref="C7:D7"/>
    <mergeCell ref="F7:G7"/>
    <mergeCell ref="A17:C17"/>
    <mergeCell ref="D17:F17"/>
    <mergeCell ref="A18:C18"/>
    <mergeCell ref="D18:F18"/>
    <mergeCell ref="D23:F23"/>
    <mergeCell ref="D24:F24"/>
    <mergeCell ref="A23:C25"/>
    <mergeCell ref="A26:C26"/>
    <mergeCell ref="A27:C27"/>
    <mergeCell ref="D25:F25"/>
    <mergeCell ref="D26:F26"/>
    <mergeCell ref="D27:F27"/>
    <mergeCell ref="A19:C19"/>
    <mergeCell ref="D19:F19"/>
    <mergeCell ref="A20:C22"/>
    <mergeCell ref="D20:F20"/>
    <mergeCell ref="D21:F21"/>
    <mergeCell ref="D22:F22"/>
    <mergeCell ref="A42:C42"/>
    <mergeCell ref="A43:C43"/>
    <mergeCell ref="A28:C31"/>
    <mergeCell ref="A32:C32"/>
    <mergeCell ref="A33:C33"/>
    <mergeCell ref="A34:G37"/>
    <mergeCell ref="A40:C40"/>
    <mergeCell ref="A41:B41"/>
    <mergeCell ref="D33:F33"/>
    <mergeCell ref="D31:F31"/>
    <mergeCell ref="D32:F32"/>
    <mergeCell ref="D28:F28"/>
    <mergeCell ref="D29:F29"/>
    <mergeCell ref="D30:F30"/>
  </mergeCells>
  <pageMargins left="0.7" right="0.7" top="0.75" bottom="0.75" header="0" footer="0"/>
  <pageSetup scale="9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2">
    <tabColor rgb="FFFF0000"/>
    <pageSetUpPr fitToPage="1"/>
  </sheetPr>
  <dimension ref="A1:Z1000"/>
  <sheetViews>
    <sheetView showGridLines="0" tabSelected="1" workbookViewId="0">
      <selection activeCell="C11" sqref="C11:F11"/>
    </sheetView>
  </sheetViews>
  <sheetFormatPr defaultColWidth="12.7109375" defaultRowHeight="15" customHeight="1"/>
  <cols>
    <col min="1" max="1" width="4.28515625" customWidth="1"/>
    <col min="2" max="2" width="17.7109375" customWidth="1"/>
    <col min="3" max="3" width="7.85546875" customWidth="1"/>
    <col min="4" max="4" width="20.7109375" customWidth="1"/>
    <col min="5" max="5" width="14.28515625" customWidth="1"/>
    <col min="6" max="6" width="3.7109375" customWidth="1"/>
    <col min="7" max="7" width="23.7109375" customWidth="1"/>
    <col min="8" max="18" width="10.28515625" customWidth="1"/>
    <col min="19" max="26" width="8" customWidth="1"/>
  </cols>
  <sheetData>
    <row r="1" spans="1:26" ht="20.25" customHeight="1">
      <c r="A1" s="482" t="s">
        <v>8</v>
      </c>
      <c r="B1" s="444"/>
      <c r="C1" s="444"/>
      <c r="D1" s="444"/>
      <c r="E1" s="444"/>
      <c r="F1" s="444"/>
      <c r="G1" s="44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64" t="s">
        <v>229</v>
      </c>
      <c r="B2" s="484"/>
      <c r="C2" s="484"/>
      <c r="D2" s="484"/>
      <c r="E2" s="484"/>
      <c r="F2" s="484"/>
      <c r="G2" s="48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44"/>
      <c r="B3" s="7"/>
      <c r="C3" s="7"/>
      <c r="D3" s="7"/>
      <c r="E3" s="7"/>
      <c r="F3" s="7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2.9" customHeight="1">
      <c r="A4" s="8"/>
      <c r="B4" s="8" t="s">
        <v>10</v>
      </c>
      <c r="C4" s="474" t="str">
        <f>'support table'!$B$2</f>
        <v>[REGION]</v>
      </c>
      <c r="D4" s="458"/>
      <c r="E4" s="8" t="s">
        <v>11</v>
      </c>
      <c r="F4" s="487" t="str">
        <f>'support table'!$B$3</f>
        <v>[NAMA_LOKASI]</v>
      </c>
      <c r="G4" s="458"/>
      <c r="H4" s="4"/>
      <c r="I4" s="4"/>
      <c r="J4" s="36"/>
      <c r="K4" s="36"/>
      <c r="L4" s="36"/>
      <c r="M4" s="36"/>
      <c r="N4" s="36"/>
      <c r="O4" s="36"/>
      <c r="P4" s="36"/>
      <c r="Q4" s="36"/>
      <c r="R4" s="36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"/>
      <c r="B5" s="8" t="s">
        <v>12</v>
      </c>
      <c r="C5" s="475" t="str">
        <f>'support table'!$B$6</f>
        <v>[NAMA_OLT]</v>
      </c>
      <c r="D5" s="460"/>
      <c r="E5" s="8" t="s">
        <v>13</v>
      </c>
      <c r="F5" s="485" t="str">
        <f>'support table'!$B$7</f>
        <v>[ID_FDT_FROM]</v>
      </c>
      <c r="G5" s="48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"/>
      <c r="B6" s="8" t="s">
        <v>14</v>
      </c>
      <c r="C6" s="491" t="str">
        <f>'support table'!$B$5</f>
        <v>[ALAMAT]</v>
      </c>
      <c r="D6" s="492"/>
      <c r="E6" s="8" t="s">
        <v>14</v>
      </c>
      <c r="F6" s="491" t="str">
        <f>'support table'!$B$5</f>
        <v>[ALAMAT]</v>
      </c>
      <c r="G6" s="492"/>
      <c r="H6" s="23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.25" customHeight="1">
      <c r="A8" s="72" t="s">
        <v>15</v>
      </c>
      <c r="B8" s="73" t="s">
        <v>16</v>
      </c>
      <c r="C8" s="565" t="s">
        <v>17</v>
      </c>
      <c r="D8" s="464"/>
      <c r="E8" s="464"/>
      <c r="F8" s="477"/>
      <c r="G8" s="74" t="s">
        <v>18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530">
        <v>1</v>
      </c>
      <c r="B9" s="531" t="s">
        <v>230</v>
      </c>
      <c r="C9" s="566" t="s">
        <v>231</v>
      </c>
      <c r="D9" s="458"/>
      <c r="E9" s="458"/>
      <c r="F9" s="506"/>
      <c r="G9" s="17" t="s">
        <v>232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69"/>
      <c r="B10" s="472"/>
      <c r="C10" s="567" t="s">
        <v>547</v>
      </c>
      <c r="D10" s="460"/>
      <c r="E10" s="460"/>
      <c r="F10" s="462"/>
      <c r="G10" s="18" t="s">
        <v>233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" customHeight="1">
      <c r="A11" s="469"/>
      <c r="B11" s="472"/>
      <c r="C11" s="461" t="s">
        <v>234</v>
      </c>
      <c r="D11" s="460"/>
      <c r="E11" s="460"/>
      <c r="F11" s="462"/>
      <c r="G11" s="18" t="s">
        <v>235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5" customHeight="1">
      <c r="A12" s="469"/>
      <c r="B12" s="472"/>
      <c r="C12" s="461" t="s">
        <v>236</v>
      </c>
      <c r="D12" s="460"/>
      <c r="E12" s="460"/>
      <c r="F12" s="462"/>
      <c r="G12" s="18" t="s">
        <v>237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>
      <c r="A13" s="469"/>
      <c r="B13" s="472"/>
      <c r="C13" s="567" t="s">
        <v>238</v>
      </c>
      <c r="D13" s="460"/>
      <c r="E13" s="460"/>
      <c r="F13" s="462"/>
      <c r="G13" s="18" t="s">
        <v>239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.75" customHeight="1">
      <c r="A14" s="529"/>
      <c r="B14" s="510"/>
      <c r="C14" s="568" t="s">
        <v>240</v>
      </c>
      <c r="D14" s="497"/>
      <c r="E14" s="497"/>
      <c r="F14" s="534"/>
      <c r="G14" s="18" t="s">
        <v>241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81.25" customHeight="1">
      <c r="A15" s="569" t="s">
        <v>242</v>
      </c>
      <c r="B15" s="464"/>
      <c r="C15" s="464"/>
      <c r="D15" s="464"/>
      <c r="E15" s="464"/>
      <c r="F15" s="464"/>
      <c r="G15" s="46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>
      <c r="A16" s="20" t="s">
        <v>47</v>
      </c>
      <c r="B16" s="21"/>
      <c r="C16" s="22"/>
      <c r="D16" s="6"/>
      <c r="E16" s="6"/>
      <c r="F16" s="23"/>
      <c r="G16" s="2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 customHeight="1">
      <c r="A17" s="23" t="s">
        <v>48</v>
      </c>
      <c r="B17" s="23"/>
      <c r="C17" s="23"/>
      <c r="D17" s="23"/>
      <c r="E17" s="23"/>
      <c r="F17" s="23" t="s">
        <v>49</v>
      </c>
      <c r="G17" s="2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5.5" customHeight="1">
      <c r="A18" s="466" t="str">
        <f>"Name: " &amp; 'support table'!$B$10</f>
        <v>Name: [REP_VENDOR]</v>
      </c>
      <c r="B18" s="458"/>
      <c r="C18" s="458"/>
      <c r="D18" s="25"/>
      <c r="E18" s="2"/>
      <c r="F18" s="24" t="str">
        <f>"Name:" &amp; 'support table'!$B$13</f>
        <v>Name:[REP_CUSTOMER]</v>
      </c>
      <c r="G18" s="2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5.5" customHeight="1">
      <c r="A19" s="467" t="s">
        <v>51</v>
      </c>
      <c r="B19" s="444"/>
      <c r="C19" s="23"/>
      <c r="D19" s="25"/>
      <c r="E19" s="23"/>
      <c r="F19" s="26" t="s">
        <v>51</v>
      </c>
      <c r="G19" s="2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5.5" customHeight="1">
      <c r="A20" s="75" t="s">
        <v>52</v>
      </c>
      <c r="B20" s="75"/>
      <c r="C20" s="75"/>
      <c r="D20" s="28"/>
      <c r="E20" s="29"/>
      <c r="F20" s="27" t="s">
        <v>53</v>
      </c>
      <c r="G20" s="2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5.5" customHeight="1">
      <c r="A21" s="457" t="s">
        <v>54</v>
      </c>
      <c r="B21" s="458"/>
      <c r="C21" s="29"/>
      <c r="D21" s="28"/>
      <c r="E21" s="29"/>
      <c r="F21" s="30" t="s">
        <v>54</v>
      </c>
      <c r="G21" s="3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G1"/>
    <mergeCell ref="A2:G2"/>
    <mergeCell ref="F4:G4"/>
    <mergeCell ref="F5:G5"/>
    <mergeCell ref="F6:G6"/>
    <mergeCell ref="C6:D6"/>
    <mergeCell ref="C4:D4"/>
    <mergeCell ref="C5:D5"/>
    <mergeCell ref="A19:B19"/>
    <mergeCell ref="A21:B21"/>
    <mergeCell ref="C8:F8"/>
    <mergeCell ref="A9:A14"/>
    <mergeCell ref="B9:B14"/>
    <mergeCell ref="C9:F9"/>
    <mergeCell ref="C10:F10"/>
    <mergeCell ref="C11:F11"/>
    <mergeCell ref="C12:F12"/>
    <mergeCell ref="C13:F13"/>
    <mergeCell ref="C14:F14"/>
    <mergeCell ref="A15:G15"/>
    <mergeCell ref="A18:C18"/>
  </mergeCells>
  <pageMargins left="0.7" right="0.7" top="0.75" bottom="0.75" header="0" footer="0"/>
  <pageSetup scale="8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3">
    <tabColor rgb="FFFF0000"/>
    <pageSetUpPr fitToPage="1"/>
  </sheetPr>
  <dimension ref="A1:Z1000"/>
  <sheetViews>
    <sheetView showGridLines="0" topLeftCell="A18" workbookViewId="0">
      <selection activeCell="A4" sqref="A4"/>
    </sheetView>
  </sheetViews>
  <sheetFormatPr defaultColWidth="12.7109375" defaultRowHeight="15" customHeight="1"/>
  <cols>
    <col min="1" max="1" width="5" customWidth="1"/>
    <col min="2" max="2" width="19.28515625" customWidth="1"/>
    <col min="3" max="3" width="5.7109375" customWidth="1"/>
    <col min="4" max="4" width="18.85546875" customWidth="1"/>
    <col min="5" max="5" width="13.140625" customWidth="1"/>
    <col min="6" max="6" width="5" customWidth="1"/>
    <col min="7" max="7" width="21.28515625" customWidth="1"/>
    <col min="8" max="8" width="9" customWidth="1"/>
    <col min="9" max="9" width="14.85546875" customWidth="1"/>
    <col min="10" max="17" width="9" customWidth="1"/>
    <col min="18" max="26" width="7" customWidth="1"/>
  </cols>
  <sheetData>
    <row r="1" spans="1:26" ht="20.25" customHeight="1">
      <c r="A1" s="482" t="s">
        <v>8</v>
      </c>
      <c r="B1" s="444"/>
      <c r="C1" s="444"/>
      <c r="D1" s="444"/>
      <c r="E1" s="444"/>
      <c r="F1" s="444"/>
      <c r="G1" s="44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64" t="s">
        <v>243</v>
      </c>
      <c r="B2" s="484"/>
      <c r="C2" s="484"/>
      <c r="D2" s="484"/>
      <c r="E2" s="484"/>
      <c r="F2" s="484"/>
      <c r="G2" s="48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44"/>
      <c r="B3" s="23"/>
      <c r="C3" s="23"/>
      <c r="D3" s="23"/>
      <c r="E3" s="23"/>
      <c r="F3" s="23"/>
      <c r="G3" s="2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5.15" customHeight="1">
      <c r="A4" s="8"/>
      <c r="B4" s="8" t="s">
        <v>10</v>
      </c>
      <c r="C4" s="474" t="str">
        <f>'support table'!$B$2</f>
        <v>[REGION]</v>
      </c>
      <c r="D4" s="458"/>
      <c r="E4" s="8" t="s">
        <v>11</v>
      </c>
      <c r="F4" s="487" t="str">
        <f>'support table'!$B$3</f>
        <v>[NAMA_LOKASI]</v>
      </c>
      <c r="G4" s="458"/>
      <c r="H4" s="4"/>
      <c r="I4" s="4"/>
      <c r="J4" s="36"/>
      <c r="K4" s="36"/>
      <c r="L4" s="36"/>
      <c r="M4" s="36"/>
      <c r="N4" s="36"/>
      <c r="O4" s="36"/>
      <c r="P4" s="36"/>
      <c r="Q4" s="36"/>
      <c r="R4" s="36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8"/>
      <c r="B5" s="8" t="s">
        <v>12</v>
      </c>
      <c r="C5" s="475" t="str">
        <f>'support table'!$B$6</f>
        <v>[NAMA_OLT]</v>
      </c>
      <c r="D5" s="460"/>
      <c r="E5" s="8" t="s">
        <v>13</v>
      </c>
      <c r="F5" s="485" t="str">
        <f>'support table'!$B$7</f>
        <v>[ID_FDT_FROM]</v>
      </c>
      <c r="G5" s="48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8"/>
      <c r="B6" s="8" t="s">
        <v>14</v>
      </c>
      <c r="C6" s="491" t="str">
        <f>'support table'!$B$5</f>
        <v>[ALAMAT]</v>
      </c>
      <c r="D6" s="492"/>
      <c r="E6" s="8" t="s">
        <v>14</v>
      </c>
      <c r="F6" s="491" t="str">
        <f>'support table'!$B$5</f>
        <v>[ALAMAT]</v>
      </c>
      <c r="G6" s="492"/>
      <c r="H6" s="237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/>
    <row r="8" spans="1:26" ht="8.25" customHeight="1">
      <c r="A8" s="39"/>
      <c r="B8" s="39"/>
      <c r="C8" s="39"/>
      <c r="D8" s="39"/>
      <c r="E8" s="39"/>
      <c r="F8" s="39"/>
      <c r="G8" s="39"/>
      <c r="H8" s="39"/>
      <c r="I8" s="39"/>
    </row>
    <row r="9" spans="1:26" ht="19.5" customHeight="1">
      <c r="A9" s="550" t="s">
        <v>125</v>
      </c>
      <c r="B9" s="464"/>
      <c r="C9" s="477"/>
      <c r="D9" s="551" t="s">
        <v>126</v>
      </c>
      <c r="E9" s="464"/>
      <c r="F9" s="477"/>
      <c r="G9" s="15" t="s">
        <v>18</v>
      </c>
    </row>
    <row r="10" spans="1:26">
      <c r="A10" s="570" t="s">
        <v>244</v>
      </c>
      <c r="B10" s="458"/>
      <c r="C10" s="506"/>
      <c r="D10" s="571" t="s">
        <v>245</v>
      </c>
      <c r="E10" s="458"/>
      <c r="F10" s="506"/>
      <c r="G10" s="17" t="s">
        <v>246</v>
      </c>
    </row>
    <row r="11" spans="1:26">
      <c r="A11" s="545" t="s">
        <v>247</v>
      </c>
      <c r="B11" s="460"/>
      <c r="C11" s="462"/>
      <c r="D11" s="559" t="s">
        <v>245</v>
      </c>
      <c r="E11" s="460"/>
      <c r="F11" s="462"/>
      <c r="G11" s="18" t="s">
        <v>248</v>
      </c>
    </row>
    <row r="12" spans="1:26">
      <c r="A12" s="545" t="s">
        <v>249</v>
      </c>
      <c r="B12" s="460"/>
      <c r="C12" s="462"/>
      <c r="D12" s="559" t="s">
        <v>245</v>
      </c>
      <c r="E12" s="460"/>
      <c r="F12" s="462"/>
      <c r="G12" s="18" t="s">
        <v>250</v>
      </c>
    </row>
    <row r="13" spans="1:26">
      <c r="A13" s="545" t="s">
        <v>251</v>
      </c>
      <c r="B13" s="460"/>
      <c r="C13" s="462"/>
      <c r="D13" s="559" t="s">
        <v>252</v>
      </c>
      <c r="E13" s="460"/>
      <c r="F13" s="462"/>
      <c r="G13" s="18" t="s">
        <v>253</v>
      </c>
    </row>
    <row r="14" spans="1:26" ht="15.75" customHeight="1">
      <c r="A14" s="545" t="s">
        <v>254</v>
      </c>
      <c r="B14" s="460"/>
      <c r="C14" s="462"/>
      <c r="D14" s="559" t="s">
        <v>245</v>
      </c>
      <c r="E14" s="460"/>
      <c r="F14" s="462"/>
      <c r="G14" s="18" t="s">
        <v>255</v>
      </c>
    </row>
    <row r="15" spans="1:26" ht="12.75" customHeight="1">
      <c r="A15" s="542" t="str">
        <f>"Comments: " &amp; 'support table'!$B$7</f>
        <v>Comments: [ID_FDT_FROM]</v>
      </c>
      <c r="B15" s="499"/>
      <c r="C15" s="499"/>
      <c r="D15" s="499"/>
      <c r="E15" s="499"/>
      <c r="F15" s="499"/>
      <c r="G15" s="500"/>
    </row>
    <row r="16" spans="1:26" ht="12.75" customHeight="1">
      <c r="A16" s="543"/>
      <c r="B16" s="444"/>
      <c r="C16" s="444"/>
      <c r="D16" s="444"/>
      <c r="E16" s="444"/>
      <c r="F16" s="444"/>
      <c r="G16" s="544"/>
    </row>
    <row r="17" spans="1:26" ht="270.75" customHeight="1">
      <c r="A17" s="501"/>
      <c r="B17" s="502"/>
      <c r="C17" s="502"/>
      <c r="D17" s="502"/>
      <c r="E17" s="502"/>
      <c r="F17" s="502"/>
      <c r="G17" s="503"/>
    </row>
    <row r="18" spans="1:26" ht="18" customHeight="1">
      <c r="A18" s="20" t="s">
        <v>47</v>
      </c>
      <c r="B18" s="21"/>
      <c r="C18" s="22"/>
      <c r="D18" s="6"/>
      <c r="E18" s="6"/>
      <c r="F18" s="23"/>
      <c r="G18" s="23"/>
    </row>
    <row r="19" spans="1:26" ht="21" customHeight="1">
      <c r="A19" s="23" t="s">
        <v>48</v>
      </c>
      <c r="B19" s="23"/>
      <c r="C19" s="23"/>
      <c r="D19" s="23"/>
      <c r="E19" s="23"/>
      <c r="F19" s="23" t="s">
        <v>49</v>
      </c>
      <c r="G19" s="2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5.5" customHeight="1">
      <c r="A20" s="466" t="str">
        <f>"Name: " &amp; 'support table'!$B$10</f>
        <v>Name: [REP_VENDOR]</v>
      </c>
      <c r="B20" s="458"/>
      <c r="C20" s="458"/>
      <c r="D20" s="25"/>
      <c r="E20" s="2"/>
      <c r="F20" s="271" t="str">
        <f>"Name: " &amp; 'support table'!$B$13</f>
        <v>Name: [REP_CUSTOMER]</v>
      </c>
      <c r="G20" s="27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5.5" customHeight="1">
      <c r="A21" s="467" t="s">
        <v>51</v>
      </c>
      <c r="B21" s="444"/>
      <c r="C21" s="23"/>
      <c r="D21" s="25"/>
      <c r="E21" s="23"/>
      <c r="F21" s="26" t="s">
        <v>51</v>
      </c>
      <c r="G21" s="2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5.5" customHeight="1">
      <c r="A22" s="466" t="s">
        <v>50</v>
      </c>
      <c r="B22" s="458"/>
      <c r="C22" s="458"/>
      <c r="D22" s="28"/>
      <c r="E22" s="29"/>
      <c r="F22" s="27" t="s">
        <v>53</v>
      </c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5.5" customHeight="1">
      <c r="A23" s="459" t="s">
        <v>54</v>
      </c>
      <c r="B23" s="460"/>
      <c r="C23" s="29"/>
      <c r="D23" s="28"/>
      <c r="E23" s="29"/>
      <c r="F23" s="30" t="s">
        <v>54</v>
      </c>
      <c r="G23" s="30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/>
    <row r="25" spans="1:26" ht="12.75" customHeight="1"/>
    <row r="26" spans="1:26" ht="12.75" customHeight="1"/>
    <row r="27" spans="1:26" ht="12.75" customHeight="1"/>
    <row r="28" spans="1:26" ht="12.75" customHeight="1"/>
    <row r="29" spans="1:26" ht="12.75" customHeight="1"/>
    <row r="30" spans="1:26" ht="12.75" customHeight="1"/>
    <row r="31" spans="1:26" ht="12.75" customHeight="1"/>
    <row r="32" spans="1:2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G1"/>
    <mergeCell ref="A2:G2"/>
    <mergeCell ref="C6:D6"/>
    <mergeCell ref="C4:D4"/>
    <mergeCell ref="C5:D5"/>
    <mergeCell ref="F4:G4"/>
    <mergeCell ref="F5:G5"/>
    <mergeCell ref="F6:G6"/>
    <mergeCell ref="A9:C9"/>
    <mergeCell ref="D9:F9"/>
    <mergeCell ref="A10:C10"/>
    <mergeCell ref="D10:F10"/>
    <mergeCell ref="A11:C11"/>
    <mergeCell ref="D11:F11"/>
    <mergeCell ref="A20:C20"/>
    <mergeCell ref="A21:B21"/>
    <mergeCell ref="A22:C22"/>
    <mergeCell ref="A23:B23"/>
    <mergeCell ref="A12:C12"/>
    <mergeCell ref="A15:G17"/>
    <mergeCell ref="D12:F12"/>
    <mergeCell ref="A13:C13"/>
    <mergeCell ref="D13:F13"/>
    <mergeCell ref="A14:C14"/>
    <mergeCell ref="D14:F14"/>
  </mergeCells>
  <pageMargins left="0.7" right="0.7" top="0.75" bottom="0.75" header="0" footer="0"/>
  <pageSetup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4">
    <pageSetUpPr fitToPage="1"/>
  </sheetPr>
  <dimension ref="A1:Z1000"/>
  <sheetViews>
    <sheetView showGridLines="0" workbookViewId="0">
      <selection activeCell="C20" sqref="C20:F20"/>
    </sheetView>
  </sheetViews>
  <sheetFormatPr defaultColWidth="12.7109375" defaultRowHeight="15" customHeight="1"/>
  <cols>
    <col min="1" max="1" width="4.28515625" customWidth="1"/>
    <col min="2" max="2" width="19.28515625" customWidth="1"/>
    <col min="3" max="3" width="4.85546875" customWidth="1"/>
    <col min="4" max="4" width="21.7109375" customWidth="1"/>
    <col min="5" max="5" width="13.7109375" customWidth="1"/>
    <col min="6" max="6" width="7.7109375" customWidth="1"/>
    <col min="7" max="7" width="23.7109375" customWidth="1"/>
    <col min="8" max="17" width="10.28515625" customWidth="1"/>
    <col min="18" max="26" width="8" customWidth="1"/>
  </cols>
  <sheetData>
    <row r="1" spans="1:26" ht="20.25" customHeight="1">
      <c r="A1" s="482" t="s">
        <v>8</v>
      </c>
      <c r="B1" s="444"/>
      <c r="C1" s="444"/>
      <c r="D1" s="444"/>
      <c r="E1" s="444"/>
      <c r="F1" s="444"/>
      <c r="G1" s="44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5.25" customHeight="1">
      <c r="A2" s="564" t="s">
        <v>277</v>
      </c>
      <c r="B2" s="484"/>
      <c r="C2" s="484"/>
      <c r="D2" s="484"/>
      <c r="E2" s="484"/>
      <c r="F2" s="484"/>
      <c r="G2" s="48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9" customHeight="1">
      <c r="A3" s="44"/>
      <c r="B3" s="23"/>
      <c r="C3" s="23"/>
      <c r="D3" s="23"/>
      <c r="E3" s="23"/>
      <c r="F3" s="23"/>
      <c r="G3" s="2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1" customHeight="1">
      <c r="A4" s="8"/>
      <c r="B4" s="8" t="s">
        <v>10</v>
      </c>
      <c r="C4" s="474" t="str">
        <f>'support table'!$B$2</f>
        <v>[REGION]</v>
      </c>
      <c r="D4" s="458"/>
      <c r="E4" s="8" t="s">
        <v>11</v>
      </c>
      <c r="F4" s="487" t="str">
        <f>'support table'!$B$3</f>
        <v>[NAMA_LOKASI]</v>
      </c>
      <c r="G4" s="458"/>
      <c r="H4" s="4"/>
      <c r="I4" s="4"/>
      <c r="J4" s="36"/>
      <c r="K4" s="36"/>
      <c r="L4" s="36"/>
      <c r="M4" s="36"/>
      <c r="N4" s="36"/>
      <c r="O4" s="36"/>
      <c r="P4" s="36"/>
      <c r="Q4" s="36"/>
      <c r="R4" s="36"/>
      <c r="S4" s="4"/>
      <c r="T4" s="4"/>
      <c r="U4" s="4"/>
      <c r="V4" s="4"/>
      <c r="W4" s="4"/>
      <c r="X4" s="4"/>
      <c r="Y4" s="4"/>
      <c r="Z4" s="4"/>
    </row>
    <row r="5" spans="1:26" ht="12.75">
      <c r="A5" s="8"/>
      <c r="B5" s="8" t="s">
        <v>12</v>
      </c>
      <c r="C5" s="475" t="str">
        <f>'support table'!$B$6</f>
        <v>[NAMA_OLT]</v>
      </c>
      <c r="D5" s="460"/>
      <c r="E5" s="8" t="s">
        <v>13</v>
      </c>
      <c r="F5" s="485" t="str">
        <f>'support table'!$B$7</f>
        <v>[ID_FDT_FROM]</v>
      </c>
      <c r="G5" s="48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>
      <c r="A6" s="8"/>
      <c r="B6" s="8" t="s">
        <v>14</v>
      </c>
      <c r="C6" s="522" t="str">
        <f>'support table'!$B$5</f>
        <v>[ALAMAT]</v>
      </c>
      <c r="D6" s="523"/>
      <c r="E6" s="8" t="s">
        <v>14</v>
      </c>
      <c r="F6" s="522" t="str">
        <f>'support table'!$B$5</f>
        <v>[ALAMAT]</v>
      </c>
      <c r="G6" s="52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5" customHeight="1">
      <c r="A7" s="8"/>
      <c r="B7" s="11"/>
      <c r="C7" s="11"/>
      <c r="D7" s="11"/>
      <c r="E7" s="3"/>
      <c r="F7" s="4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customHeight="1">
      <c r="A8" s="13" t="s">
        <v>15</v>
      </c>
      <c r="B8" s="14" t="s">
        <v>16</v>
      </c>
      <c r="C8" s="576" t="s">
        <v>17</v>
      </c>
      <c r="D8" s="499"/>
      <c r="E8" s="499"/>
      <c r="F8" s="517"/>
      <c r="G8" s="114" t="s">
        <v>18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77">
        <v>1</v>
      </c>
      <c r="B9" s="509" t="s">
        <v>278</v>
      </c>
      <c r="C9" s="479" t="s">
        <v>279</v>
      </c>
      <c r="D9" s="480"/>
      <c r="E9" s="480"/>
      <c r="F9" s="481"/>
      <c r="G9" s="71" t="s">
        <v>280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69"/>
      <c r="B10" s="472"/>
      <c r="C10" s="461" t="s">
        <v>281</v>
      </c>
      <c r="D10" s="460"/>
      <c r="E10" s="460"/>
      <c r="F10" s="462"/>
      <c r="G10" s="18" t="s">
        <v>282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" customHeight="1">
      <c r="A11" s="470"/>
      <c r="B11" s="473"/>
      <c r="C11" s="461" t="s">
        <v>283</v>
      </c>
      <c r="D11" s="460"/>
      <c r="E11" s="460"/>
      <c r="F11" s="462"/>
      <c r="G11" s="18" t="s">
        <v>284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25" customHeight="1">
      <c r="A12" s="468">
        <v>2</v>
      </c>
      <c r="B12" s="471" t="s">
        <v>285</v>
      </c>
      <c r="C12" s="461" t="s">
        <v>286</v>
      </c>
      <c r="D12" s="460"/>
      <c r="E12" s="460"/>
      <c r="F12" s="462"/>
      <c r="G12" s="18" t="s">
        <v>287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customHeight="1">
      <c r="A13" s="469"/>
      <c r="B13" s="472"/>
      <c r="C13" s="461" t="s">
        <v>288</v>
      </c>
      <c r="D13" s="460"/>
      <c r="E13" s="460"/>
      <c r="F13" s="462"/>
      <c r="G13" s="18" t="s">
        <v>289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customHeight="1">
      <c r="A14" s="470"/>
      <c r="B14" s="473"/>
      <c r="C14" s="461" t="s">
        <v>283</v>
      </c>
      <c r="D14" s="460"/>
      <c r="E14" s="460"/>
      <c r="F14" s="462"/>
      <c r="G14" s="18" t="s">
        <v>290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>
      <c r="A15" s="468">
        <v>3</v>
      </c>
      <c r="B15" s="471" t="s">
        <v>291</v>
      </c>
      <c r="C15" s="461" t="s">
        <v>292</v>
      </c>
      <c r="D15" s="460"/>
      <c r="E15" s="460"/>
      <c r="F15" s="462"/>
      <c r="G15" s="18" t="s">
        <v>293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>
      <c r="A16" s="469"/>
      <c r="B16" s="472"/>
      <c r="C16" s="461" t="s">
        <v>294</v>
      </c>
      <c r="D16" s="460"/>
      <c r="E16" s="460"/>
      <c r="F16" s="462"/>
      <c r="G16" s="18" t="s">
        <v>295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customHeight="1">
      <c r="A17" s="469"/>
      <c r="B17" s="472"/>
      <c r="C17" s="461" t="s">
        <v>296</v>
      </c>
      <c r="D17" s="460"/>
      <c r="E17" s="460"/>
      <c r="F17" s="462"/>
      <c r="G17" s="18" t="s">
        <v>297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7.75" customHeight="1">
      <c r="A18" s="470"/>
      <c r="B18" s="473"/>
      <c r="C18" s="461" t="s">
        <v>298</v>
      </c>
      <c r="D18" s="460"/>
      <c r="E18" s="460"/>
      <c r="F18" s="462"/>
      <c r="G18" s="18" t="s">
        <v>299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customHeight="1">
      <c r="A19" s="468">
        <v>4</v>
      </c>
      <c r="B19" s="471" t="s">
        <v>300</v>
      </c>
      <c r="C19" s="461" t="s">
        <v>301</v>
      </c>
      <c r="D19" s="460"/>
      <c r="E19" s="460"/>
      <c r="F19" s="462"/>
      <c r="G19" s="18" t="s">
        <v>302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7" customHeight="1">
      <c r="A20" s="469"/>
      <c r="B20" s="472"/>
      <c r="C20" s="572" t="s">
        <v>303</v>
      </c>
      <c r="D20" s="460"/>
      <c r="E20" s="460"/>
      <c r="F20" s="462"/>
      <c r="G20" s="18" t="s">
        <v>304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customHeight="1">
      <c r="A21" s="469"/>
      <c r="B21" s="472"/>
      <c r="C21" s="572" t="s">
        <v>305</v>
      </c>
      <c r="D21" s="460"/>
      <c r="E21" s="460"/>
      <c r="F21" s="462"/>
      <c r="G21" s="18" t="s">
        <v>306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customHeight="1">
      <c r="A22" s="469"/>
      <c r="B22" s="472"/>
      <c r="C22" s="573" t="s">
        <v>307</v>
      </c>
      <c r="D22" s="460"/>
      <c r="E22" s="460"/>
      <c r="F22" s="462"/>
      <c r="G22" s="18" t="s">
        <v>308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5.5" customHeight="1">
      <c r="A23" s="469"/>
      <c r="B23" s="472"/>
      <c r="C23" s="572" t="s">
        <v>309</v>
      </c>
      <c r="D23" s="460"/>
      <c r="E23" s="460"/>
      <c r="F23" s="462"/>
      <c r="G23" s="18" t="s">
        <v>310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>
      <c r="A24" s="469"/>
      <c r="B24" s="472"/>
      <c r="C24" s="573" t="s">
        <v>311</v>
      </c>
      <c r="D24" s="460"/>
      <c r="E24" s="460"/>
      <c r="F24" s="462"/>
      <c r="G24" s="18" t="s">
        <v>312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customHeight="1">
      <c r="A25" s="529"/>
      <c r="B25" s="510"/>
      <c r="C25" s="574" t="s">
        <v>313</v>
      </c>
      <c r="D25" s="497"/>
      <c r="E25" s="497"/>
      <c r="F25" s="534"/>
      <c r="G25" s="38" t="s">
        <v>314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9.75" customHeight="1">
      <c r="A26" s="575" t="str">
        <f>"Comments: " &amp; 'support table'!$B$7</f>
        <v>Comments: [ID_FDT_FROM]</v>
      </c>
      <c r="B26" s="502"/>
      <c r="C26" s="502"/>
      <c r="D26" s="502"/>
      <c r="E26" s="502"/>
      <c r="F26" s="502"/>
      <c r="G26" s="50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0.25" customHeight="1">
      <c r="A27" s="20" t="s">
        <v>47</v>
      </c>
      <c r="B27" s="21"/>
      <c r="C27" s="22"/>
      <c r="D27" s="6"/>
      <c r="E27" s="6"/>
      <c r="F27" s="23"/>
      <c r="G27" s="2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1" customHeight="1">
      <c r="A28" s="23" t="s">
        <v>48</v>
      </c>
      <c r="B28" s="23"/>
      <c r="C28" s="23"/>
      <c r="D28" s="23"/>
      <c r="E28" s="23"/>
      <c r="F28" s="23" t="s">
        <v>49</v>
      </c>
      <c r="G28" s="2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5.5" customHeight="1">
      <c r="A29" s="466" t="str">
        <f>"Name: " &amp; 'support table'!$B$10</f>
        <v>Name: [REP_VENDOR]</v>
      </c>
      <c r="B29" s="458"/>
      <c r="C29" s="458"/>
      <c r="D29" s="25"/>
      <c r="E29" s="2"/>
      <c r="F29" s="24" t="str">
        <f>"Name: " &amp; 'support table'!$B$13</f>
        <v>Name: [REP_CUSTOMER]</v>
      </c>
      <c r="G29" s="2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5.5" customHeight="1">
      <c r="A30" s="467" t="s">
        <v>51</v>
      </c>
      <c r="B30" s="444"/>
      <c r="C30" s="23"/>
      <c r="D30" s="25"/>
      <c r="E30" s="23"/>
      <c r="F30" s="26" t="s">
        <v>51</v>
      </c>
      <c r="G30" s="2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5.5" customHeight="1">
      <c r="A31" s="466" t="s">
        <v>47</v>
      </c>
      <c r="B31" s="458"/>
      <c r="C31" s="458"/>
      <c r="D31" s="28"/>
      <c r="E31" s="29"/>
      <c r="F31" s="27" t="s">
        <v>53</v>
      </c>
      <c r="G31" s="2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5.5" customHeight="1">
      <c r="A32" s="459" t="s">
        <v>54</v>
      </c>
      <c r="B32" s="460"/>
      <c r="C32" s="29"/>
      <c r="D32" s="28"/>
      <c r="E32" s="29"/>
      <c r="F32" s="30" t="s">
        <v>54</v>
      </c>
      <c r="G32" s="3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G1"/>
    <mergeCell ref="A2:G2"/>
    <mergeCell ref="C6:D6"/>
    <mergeCell ref="C4:D4"/>
    <mergeCell ref="C5:D5"/>
    <mergeCell ref="F4:G4"/>
    <mergeCell ref="F5:G5"/>
    <mergeCell ref="F6:G6"/>
    <mergeCell ref="A12:A14"/>
    <mergeCell ref="B12:B14"/>
    <mergeCell ref="A15:A18"/>
    <mergeCell ref="B15:B18"/>
    <mergeCell ref="A19:A25"/>
    <mergeCell ref="B19:B25"/>
    <mergeCell ref="C8:F8"/>
    <mergeCell ref="A9:A11"/>
    <mergeCell ref="B9:B11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A26:G26"/>
    <mergeCell ref="A29:C29"/>
    <mergeCell ref="A30:B30"/>
    <mergeCell ref="A31:C31"/>
    <mergeCell ref="A32:B32"/>
    <mergeCell ref="C19:F19"/>
    <mergeCell ref="C20:F20"/>
    <mergeCell ref="C21:F21"/>
    <mergeCell ref="C22:F22"/>
    <mergeCell ref="C23:F23"/>
    <mergeCell ref="C24:F24"/>
    <mergeCell ref="C25:F25"/>
  </mergeCells>
  <pageMargins left="0.7" right="0.7" top="0.75" bottom="0.75" header="0" footer="0"/>
  <pageSetup scale="8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5">
    <tabColor rgb="FF00CCFF"/>
    <pageSetUpPr fitToPage="1"/>
  </sheetPr>
  <dimension ref="A1:Z1000"/>
  <sheetViews>
    <sheetView showGridLines="0" workbookViewId="0">
      <selection activeCell="A44" sqref="A44"/>
    </sheetView>
  </sheetViews>
  <sheetFormatPr defaultColWidth="12.7109375" defaultRowHeight="15" customHeight="1"/>
  <cols>
    <col min="1" max="1" width="13.7109375" customWidth="1"/>
    <col min="2" max="11" width="9" customWidth="1"/>
    <col min="12" max="12" width="15" customWidth="1"/>
    <col min="13" max="13" width="10.28515625" customWidth="1"/>
    <col min="14" max="14" width="9" customWidth="1"/>
  </cols>
  <sheetData>
    <row r="1" spans="1:26" ht="39.75" customHeight="1">
      <c r="A1" s="583" t="s">
        <v>327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</row>
    <row r="2" spans="1:26" ht="14.25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pans="1:26" ht="14.25" customHeight="1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</row>
    <row r="4" spans="1:26" ht="19.5" customHeight="1">
      <c r="A4" s="584" t="s">
        <v>328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</row>
    <row r="5" spans="1:26" ht="14.25" customHeight="1">
      <c r="A5" s="130"/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</row>
    <row r="6" spans="1:26" ht="14.25" customHeight="1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</row>
    <row r="7" spans="1:26" ht="21" customHeight="1">
      <c r="A7" s="131" t="s">
        <v>329</v>
      </c>
      <c r="B7" s="131"/>
      <c r="C7" s="132" t="str">
        <f>": " &amp; 'support table'!$B$10</f>
        <v>: [REP_VENDOR]</v>
      </c>
      <c r="D7" s="131"/>
      <c r="E7" s="131"/>
      <c r="F7" s="133"/>
      <c r="G7" s="133"/>
      <c r="H7" s="133"/>
      <c r="I7" s="133"/>
      <c r="J7" s="133"/>
      <c r="K7" s="133"/>
      <c r="L7" s="133"/>
      <c r="M7" s="133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21" customHeight="1">
      <c r="A8" s="131" t="s">
        <v>330</v>
      </c>
      <c r="B8" s="131"/>
      <c r="C8" s="132" t="str">
        <f>": " &amp; 'support table'!$B$9</f>
        <v>: [NAMA_PT_VENDOR]</v>
      </c>
      <c r="D8" s="131"/>
      <c r="E8" s="131"/>
      <c r="F8" s="133"/>
      <c r="G8" s="133"/>
      <c r="H8" s="133"/>
      <c r="I8" s="133"/>
      <c r="J8" s="133"/>
      <c r="K8" s="133"/>
      <c r="L8" s="133"/>
      <c r="M8" s="133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26" ht="15.75" customHeight="1">
      <c r="A9" s="135"/>
      <c r="B9" s="135"/>
      <c r="C9" s="136"/>
      <c r="D9" s="135"/>
      <c r="E9" s="135"/>
      <c r="F9" s="130"/>
      <c r="G9" s="130"/>
      <c r="H9" s="130"/>
      <c r="I9" s="130"/>
      <c r="J9" s="130"/>
      <c r="K9" s="130"/>
      <c r="L9" s="130"/>
      <c r="M9" s="130"/>
    </row>
    <row r="10" spans="1:26">
      <c r="A10" s="135"/>
      <c r="B10" s="135"/>
      <c r="C10" s="135"/>
      <c r="D10" s="135"/>
      <c r="E10" s="135"/>
      <c r="F10" s="130"/>
      <c r="G10" s="130"/>
      <c r="H10" s="130"/>
      <c r="I10" s="130"/>
      <c r="J10" s="130"/>
      <c r="K10" s="130"/>
      <c r="L10" s="130"/>
      <c r="M10" s="130"/>
    </row>
    <row r="11" spans="1:26" ht="21" customHeight="1">
      <c r="A11" s="131" t="s">
        <v>329</v>
      </c>
      <c r="B11" s="131"/>
      <c r="C11" s="132" t="str">
        <f>": " &amp; 'support table'!$B$13</f>
        <v>: [REP_CUSTOMER]</v>
      </c>
      <c r="D11" s="131"/>
      <c r="E11" s="131"/>
      <c r="F11" s="133"/>
      <c r="G11" s="133"/>
      <c r="H11" s="133"/>
      <c r="I11" s="133"/>
      <c r="J11" s="133"/>
      <c r="K11" s="133"/>
      <c r="L11" s="133"/>
      <c r="M11" s="133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spans="1:26" ht="21" customHeight="1">
      <c r="A12" s="131" t="s">
        <v>330</v>
      </c>
      <c r="B12" s="131"/>
      <c r="C12" s="132" t="str">
        <f>": " &amp; 'support table'!$B$12</f>
        <v>: [NAMA_PT_CUSTOMER]</v>
      </c>
      <c r="D12" s="131"/>
      <c r="E12" s="131"/>
      <c r="F12" s="133"/>
      <c r="G12" s="133"/>
      <c r="H12" s="133"/>
      <c r="I12" s="133"/>
      <c r="J12" s="133"/>
      <c r="K12" s="133"/>
      <c r="L12" s="133"/>
      <c r="M12" s="133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spans="1:26" ht="14.25" customHeight="1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</row>
    <row r="14" spans="1:26" ht="18" customHeight="1">
      <c r="A14" s="585" t="s">
        <v>331</v>
      </c>
      <c r="B14" s="444"/>
      <c r="C14" s="444"/>
      <c r="D14" s="444"/>
      <c r="E14" s="444"/>
      <c r="F14" s="444"/>
      <c r="G14" s="444"/>
      <c r="H14" s="444"/>
      <c r="I14" s="444"/>
      <c r="J14" s="444"/>
      <c r="K14" s="444"/>
      <c r="L14" s="444"/>
      <c r="M14" s="444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 spans="1:26">
      <c r="A15" s="585" t="s">
        <v>332</v>
      </c>
      <c r="B15" s="444"/>
      <c r="C15" s="444"/>
      <c r="D15" s="444"/>
      <c r="E15" s="444"/>
      <c r="F15" s="444"/>
      <c r="G15" s="444"/>
      <c r="H15" s="444"/>
      <c r="I15" s="444"/>
      <c r="J15" s="444"/>
      <c r="K15" s="444"/>
      <c r="L15" s="444"/>
      <c r="M15" s="444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 spans="1:2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</row>
    <row r="17" spans="1:14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</row>
    <row r="18" spans="1:14" ht="15.75" customHeight="1">
      <c r="A18" s="130" t="s">
        <v>333</v>
      </c>
      <c r="B18" s="139" t="s">
        <v>317</v>
      </c>
      <c r="C18" s="119" t="str">
        <f>'support table'!$B$3</f>
        <v>[NAMA_LOKASI]</v>
      </c>
      <c r="D18" s="130"/>
      <c r="E18" s="130"/>
      <c r="F18" s="130"/>
      <c r="G18" s="130"/>
      <c r="H18" s="130"/>
      <c r="I18" s="130"/>
      <c r="J18" s="130"/>
      <c r="K18" s="130"/>
      <c r="L18" s="130"/>
      <c r="M18" s="130"/>
    </row>
    <row r="19" spans="1:14" ht="15.75" customHeight="1">
      <c r="A19" s="130"/>
      <c r="B19" s="139"/>
      <c r="D19" s="130"/>
      <c r="E19" s="130"/>
      <c r="F19" s="130"/>
      <c r="G19" s="130"/>
      <c r="H19" s="130"/>
      <c r="I19" s="130"/>
      <c r="J19" s="130"/>
      <c r="K19" s="130"/>
      <c r="L19" s="130"/>
      <c r="M19" s="130"/>
    </row>
    <row r="20" spans="1:14" ht="15.75" customHeight="1">
      <c r="A20" s="130" t="s">
        <v>3</v>
      </c>
      <c r="B20" s="139" t="s">
        <v>317</v>
      </c>
      <c r="C20" s="120" t="str">
        <f>'support table'!$B$4</f>
        <v>[ID_LOKASI]</v>
      </c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1:14" ht="15.75" customHeight="1">
      <c r="A21" s="130"/>
      <c r="B21" s="139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spans="1:14" ht="15.75" customHeight="1">
      <c r="A22" s="130" t="s">
        <v>334</v>
      </c>
      <c r="B22" s="139" t="s">
        <v>317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</row>
    <row r="23" spans="1:14" ht="15.75" customHeight="1">
      <c r="A23" s="135"/>
      <c r="B23" s="130"/>
      <c r="C23" s="140"/>
      <c r="D23" s="130"/>
      <c r="E23" s="130"/>
      <c r="F23" s="130"/>
      <c r="G23" s="130"/>
      <c r="H23" s="130"/>
      <c r="I23" s="130"/>
      <c r="J23" s="130"/>
      <c r="K23" s="130"/>
      <c r="L23" s="130"/>
      <c r="M23" s="130"/>
    </row>
    <row r="24" spans="1:14" ht="15.75" customHeight="1">
      <c r="A24" s="135"/>
      <c r="B24" s="130"/>
      <c r="C24" s="140"/>
      <c r="D24" s="130"/>
      <c r="E24" s="130"/>
      <c r="F24" s="130"/>
      <c r="G24" s="130"/>
      <c r="H24" s="130"/>
      <c r="I24" s="130"/>
      <c r="J24" s="130"/>
      <c r="K24" s="130"/>
      <c r="L24" s="130"/>
      <c r="M24" s="130"/>
    </row>
    <row r="25" spans="1:14" ht="14.25" customHeight="1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</row>
    <row r="26" spans="1:14" ht="19.5" customHeight="1">
      <c r="A26" s="141" t="s">
        <v>335</v>
      </c>
      <c r="B26" s="141" t="s">
        <v>336</v>
      </c>
      <c r="C26" s="586" t="s">
        <v>322</v>
      </c>
      <c r="D26" s="462"/>
      <c r="E26" s="586" t="s">
        <v>337</v>
      </c>
      <c r="F26" s="460"/>
      <c r="G26" s="460"/>
      <c r="H26" s="462"/>
      <c r="I26" s="586" t="s">
        <v>338</v>
      </c>
      <c r="J26" s="462"/>
      <c r="K26" s="141" t="s">
        <v>339</v>
      </c>
      <c r="L26" s="586" t="s">
        <v>340</v>
      </c>
      <c r="M26" s="462"/>
      <c r="N26" s="23"/>
    </row>
    <row r="27" spans="1:14" ht="19.5" customHeight="1">
      <c r="A27" s="127"/>
      <c r="B27" s="142">
        <v>1</v>
      </c>
      <c r="C27" s="581"/>
      <c r="D27" s="462"/>
      <c r="E27" s="581"/>
      <c r="F27" s="460"/>
      <c r="G27" s="460"/>
      <c r="H27" s="462"/>
      <c r="I27" s="582"/>
      <c r="J27" s="462"/>
      <c r="K27" s="127"/>
      <c r="L27" s="579"/>
      <c r="M27" s="462"/>
    </row>
    <row r="28" spans="1:14" ht="19.5" customHeight="1">
      <c r="A28" s="127"/>
      <c r="B28" s="143"/>
      <c r="C28" s="581"/>
      <c r="D28" s="462"/>
      <c r="E28" s="581"/>
      <c r="F28" s="460"/>
      <c r="G28" s="460"/>
      <c r="H28" s="462"/>
      <c r="I28" s="582"/>
      <c r="J28" s="462"/>
      <c r="K28" s="127"/>
      <c r="L28" s="579"/>
      <c r="M28" s="462"/>
    </row>
    <row r="29" spans="1:14" ht="19.5" customHeight="1">
      <c r="A29" s="127"/>
      <c r="B29" s="143"/>
      <c r="C29" s="581"/>
      <c r="D29" s="462"/>
      <c r="E29" s="581"/>
      <c r="F29" s="460"/>
      <c r="G29" s="460"/>
      <c r="H29" s="462"/>
      <c r="I29" s="582"/>
      <c r="J29" s="462"/>
      <c r="K29" s="127"/>
      <c r="L29" s="579"/>
      <c r="M29" s="462"/>
    </row>
    <row r="30" spans="1:14" ht="19.5" customHeight="1">
      <c r="A30" s="127"/>
      <c r="B30" s="143"/>
      <c r="C30" s="581"/>
      <c r="D30" s="462"/>
      <c r="E30" s="581"/>
      <c r="F30" s="460"/>
      <c r="G30" s="460"/>
      <c r="H30" s="462"/>
      <c r="I30" s="582"/>
      <c r="J30" s="462"/>
      <c r="K30" s="127"/>
      <c r="L30" s="579"/>
      <c r="M30" s="462"/>
    </row>
    <row r="31" spans="1:14" ht="19.5" customHeight="1">
      <c r="A31" s="127"/>
      <c r="B31" s="143"/>
      <c r="C31" s="581"/>
      <c r="D31" s="462"/>
      <c r="E31" s="581"/>
      <c r="F31" s="460"/>
      <c r="G31" s="460"/>
      <c r="H31" s="462"/>
      <c r="I31" s="582"/>
      <c r="J31" s="462"/>
      <c r="K31" s="127"/>
      <c r="L31" s="579"/>
      <c r="M31" s="462"/>
    </row>
    <row r="32" spans="1:14" ht="19.5" customHeight="1">
      <c r="A32" s="127"/>
      <c r="B32" s="127"/>
      <c r="C32" s="579"/>
      <c r="D32" s="462"/>
      <c r="E32" s="579"/>
      <c r="F32" s="460"/>
      <c r="G32" s="460"/>
      <c r="H32" s="462"/>
      <c r="I32" s="579"/>
      <c r="J32" s="462"/>
      <c r="K32" s="127"/>
      <c r="L32" s="579"/>
      <c r="M32" s="462"/>
    </row>
    <row r="33" spans="1:13" ht="19.5" customHeight="1">
      <c r="A33" s="127"/>
      <c r="B33" s="127"/>
      <c r="C33" s="579"/>
      <c r="D33" s="462"/>
      <c r="E33" s="579"/>
      <c r="F33" s="460"/>
      <c r="G33" s="460"/>
      <c r="H33" s="462"/>
      <c r="I33" s="579"/>
      <c r="J33" s="462"/>
      <c r="K33" s="127"/>
      <c r="L33" s="579"/>
      <c r="M33" s="462"/>
    </row>
    <row r="34" spans="1:13" ht="19.5" customHeight="1">
      <c r="A34" s="127"/>
      <c r="B34" s="127"/>
      <c r="C34" s="579"/>
      <c r="D34" s="462"/>
      <c r="E34" s="579"/>
      <c r="F34" s="460"/>
      <c r="G34" s="460"/>
      <c r="H34" s="462"/>
      <c r="I34" s="579"/>
      <c r="J34" s="462"/>
      <c r="K34" s="127"/>
      <c r="L34" s="579"/>
      <c r="M34" s="462"/>
    </row>
    <row r="35" spans="1:13" ht="19.5" customHeight="1">
      <c r="A35" s="127"/>
      <c r="B35" s="127"/>
      <c r="C35" s="579"/>
      <c r="D35" s="462"/>
      <c r="E35" s="579"/>
      <c r="F35" s="460"/>
      <c r="G35" s="460"/>
      <c r="H35" s="462"/>
      <c r="I35" s="579"/>
      <c r="J35" s="462"/>
      <c r="K35" s="127"/>
      <c r="L35" s="579"/>
      <c r="M35" s="462"/>
    </row>
    <row r="36" spans="1:13" ht="19.5" customHeight="1">
      <c r="A36" s="127"/>
      <c r="B36" s="127"/>
      <c r="C36" s="579"/>
      <c r="D36" s="462"/>
      <c r="E36" s="579"/>
      <c r="F36" s="460"/>
      <c r="G36" s="460"/>
      <c r="H36" s="462"/>
      <c r="I36" s="579"/>
      <c r="J36" s="462"/>
      <c r="K36" s="127"/>
      <c r="L36" s="579"/>
      <c r="M36" s="462"/>
    </row>
    <row r="37" spans="1:13" ht="19.5" customHeight="1">
      <c r="A37" s="127"/>
      <c r="B37" s="127"/>
      <c r="C37" s="579"/>
      <c r="D37" s="462"/>
      <c r="E37" s="579"/>
      <c r="F37" s="460"/>
      <c r="G37" s="460"/>
      <c r="H37" s="462"/>
      <c r="I37" s="579"/>
      <c r="J37" s="462"/>
      <c r="K37" s="127"/>
      <c r="L37" s="579"/>
      <c r="M37" s="462"/>
    </row>
    <row r="38" spans="1:13" ht="19.5" customHeight="1">
      <c r="A38" s="127"/>
      <c r="B38" s="127"/>
      <c r="C38" s="579"/>
      <c r="D38" s="462"/>
      <c r="E38" s="579"/>
      <c r="F38" s="460"/>
      <c r="G38" s="460"/>
      <c r="H38" s="462"/>
      <c r="I38" s="579"/>
      <c r="J38" s="462"/>
      <c r="K38" s="127"/>
      <c r="L38" s="579"/>
      <c r="M38" s="462"/>
    </row>
    <row r="39" spans="1:13" ht="19.5" customHeight="1">
      <c r="A39" s="127"/>
      <c r="B39" s="127"/>
      <c r="C39" s="579"/>
      <c r="D39" s="462"/>
      <c r="E39" s="579"/>
      <c r="F39" s="460"/>
      <c r="G39" s="460"/>
      <c r="H39" s="462"/>
      <c r="I39" s="579"/>
      <c r="J39" s="462"/>
      <c r="K39" s="127"/>
      <c r="L39" s="579"/>
      <c r="M39" s="462"/>
    </row>
    <row r="40" spans="1:13" ht="19.5" customHeight="1">
      <c r="A40" s="127"/>
      <c r="B40" s="127"/>
      <c r="C40" s="579"/>
      <c r="D40" s="462"/>
      <c r="E40" s="579"/>
      <c r="F40" s="460"/>
      <c r="G40" s="460"/>
      <c r="H40" s="462"/>
      <c r="I40" s="579"/>
      <c r="J40" s="462"/>
      <c r="K40" s="127"/>
      <c r="L40" s="579"/>
      <c r="M40" s="462"/>
    </row>
    <row r="41" spans="1:13" ht="19.5" customHeight="1">
      <c r="A41" s="127"/>
      <c r="B41" s="127"/>
      <c r="C41" s="579"/>
      <c r="D41" s="462"/>
      <c r="E41" s="579"/>
      <c r="F41" s="460"/>
      <c r="G41" s="460"/>
      <c r="H41" s="462"/>
      <c r="I41" s="579"/>
      <c r="J41" s="462"/>
      <c r="K41" s="127"/>
      <c r="L41" s="579"/>
      <c r="M41" s="462"/>
    </row>
    <row r="42" spans="1:13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2.75" customHeight="1">
      <c r="C46" s="580"/>
      <c r="D46" s="444"/>
      <c r="E46" s="580"/>
      <c r="F46" s="444"/>
      <c r="G46" s="444"/>
      <c r="H46" s="444"/>
    </row>
    <row r="47" spans="1:13" ht="12.75" customHeight="1"/>
    <row r="48" spans="1:13" s="261" customFormat="1" ht="15.75">
      <c r="B48" s="578" t="str">
        <f>'support table'!$B$9</f>
        <v>[NAMA_PT_VENDOR]</v>
      </c>
      <c r="C48" s="578"/>
      <c r="D48" s="578"/>
      <c r="E48" s="578"/>
      <c r="F48" s="262"/>
      <c r="G48" s="263"/>
      <c r="H48" s="578" t="str">
        <f>'support table'!$B$12</f>
        <v>[NAMA_PT_CUSTOMER]</v>
      </c>
      <c r="I48" s="578"/>
      <c r="J48" s="578"/>
      <c r="K48" s="578"/>
      <c r="L48" s="578"/>
      <c r="M48" s="578"/>
    </row>
    <row r="49" spans="2:13" ht="12.75" customHeight="1"/>
    <row r="50" spans="2:13" ht="12.75" customHeight="1"/>
    <row r="51" spans="2:13" ht="12.75" customHeight="1"/>
    <row r="52" spans="2:13" ht="12.75" customHeight="1"/>
    <row r="53" spans="2:13" ht="12.75" customHeight="1"/>
    <row r="54" spans="2:13" ht="12.75" customHeight="1"/>
    <row r="55" spans="2:13" ht="13.5" customHeight="1">
      <c r="B55" s="144"/>
      <c r="C55" s="144"/>
      <c r="D55" s="144"/>
      <c r="E55" s="144"/>
      <c r="F55" s="145"/>
      <c r="G55" s="145"/>
      <c r="H55" s="145"/>
      <c r="I55" s="145"/>
      <c r="J55" s="144"/>
      <c r="K55" s="144"/>
      <c r="L55" s="144"/>
      <c r="M55" s="23"/>
    </row>
    <row r="56" spans="2:13" ht="15.75" customHeight="1">
      <c r="B56" s="135" t="s">
        <v>329</v>
      </c>
      <c r="C56" s="135" t="str">
        <f>": " &amp; 'support table'!$B$10</f>
        <v>: [REP_VENDOR]</v>
      </c>
      <c r="D56" s="135"/>
      <c r="E56" s="135"/>
      <c r="F56" s="135"/>
      <c r="G56" s="135"/>
      <c r="H56" s="135"/>
      <c r="I56" s="135"/>
      <c r="J56" s="135" t="s">
        <v>329</v>
      </c>
      <c r="K56" s="23" t="str">
        <f>": " &amp; 'support table'!$B$13</f>
        <v>: [REP_CUSTOMER]</v>
      </c>
      <c r="L56" s="145"/>
      <c r="M56" s="145"/>
    </row>
    <row r="57" spans="2:13" ht="12.75" customHeight="1"/>
    <row r="58" spans="2:13" ht="12.75" customHeight="1"/>
    <row r="59" spans="2:13" ht="12.75" customHeight="1"/>
    <row r="60" spans="2:13" ht="12.75" customHeight="1"/>
    <row r="61" spans="2:13" ht="12.75" customHeight="1"/>
    <row r="62" spans="2:13" ht="12.75" customHeight="1"/>
    <row r="63" spans="2:13" ht="12.75" customHeight="1"/>
    <row r="64" spans="2:13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L34:M34"/>
    <mergeCell ref="L35:M35"/>
    <mergeCell ref="L27:M27"/>
    <mergeCell ref="L28:M28"/>
    <mergeCell ref="L29:M29"/>
    <mergeCell ref="L30:M30"/>
    <mergeCell ref="L31:M31"/>
    <mergeCell ref="L32:M32"/>
    <mergeCell ref="L33:M33"/>
    <mergeCell ref="C35:D35"/>
    <mergeCell ref="E35:H35"/>
    <mergeCell ref="I35:J35"/>
    <mergeCell ref="C36:D36"/>
    <mergeCell ref="E36:H36"/>
    <mergeCell ref="I36:J36"/>
    <mergeCell ref="L36:M36"/>
    <mergeCell ref="C37:D37"/>
    <mergeCell ref="E37:H37"/>
    <mergeCell ref="I37:J37"/>
    <mergeCell ref="L37:M37"/>
    <mergeCell ref="E38:H38"/>
    <mergeCell ref="I38:J38"/>
    <mergeCell ref="L38:M38"/>
    <mergeCell ref="C41:D41"/>
    <mergeCell ref="E41:H41"/>
    <mergeCell ref="I41:J41"/>
    <mergeCell ref="L41:M41"/>
    <mergeCell ref="I39:J39"/>
    <mergeCell ref="C40:D40"/>
    <mergeCell ref="E40:H40"/>
    <mergeCell ref="I40:J40"/>
    <mergeCell ref="L39:M39"/>
    <mergeCell ref="L40:M40"/>
    <mergeCell ref="A1:M1"/>
    <mergeCell ref="A4:M4"/>
    <mergeCell ref="A14:M14"/>
    <mergeCell ref="A15:M15"/>
    <mergeCell ref="E26:H26"/>
    <mergeCell ref="I26:J26"/>
    <mergeCell ref="L26:M26"/>
    <mergeCell ref="C26:D26"/>
    <mergeCell ref="C27:D27"/>
    <mergeCell ref="E27:H27"/>
    <mergeCell ref="I27:J27"/>
    <mergeCell ref="C28:D28"/>
    <mergeCell ref="E28:H28"/>
    <mergeCell ref="I28:J28"/>
    <mergeCell ref="E31:H31"/>
    <mergeCell ref="I31:J31"/>
    <mergeCell ref="C29:D29"/>
    <mergeCell ref="E29:H29"/>
    <mergeCell ref="I29:J29"/>
    <mergeCell ref="C30:D30"/>
    <mergeCell ref="E30:H30"/>
    <mergeCell ref="I30:J30"/>
    <mergeCell ref="C31:D31"/>
    <mergeCell ref="H48:M48"/>
    <mergeCell ref="E34:H34"/>
    <mergeCell ref="I34:J34"/>
    <mergeCell ref="C32:D32"/>
    <mergeCell ref="E32:H32"/>
    <mergeCell ref="I32:J32"/>
    <mergeCell ref="C33:D33"/>
    <mergeCell ref="E33:H33"/>
    <mergeCell ref="I33:J33"/>
    <mergeCell ref="C34:D34"/>
    <mergeCell ref="C46:D46"/>
    <mergeCell ref="E46:H46"/>
    <mergeCell ref="B48:E48"/>
    <mergeCell ref="C38:D38"/>
    <mergeCell ref="C39:D39"/>
    <mergeCell ref="E39:H39"/>
  </mergeCells>
  <pageMargins left="0.7" right="0.7" top="0.75" bottom="0.75" header="0" footer="0"/>
  <pageSetup scale="7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7">
    <tabColor rgb="FFC0C0C0"/>
    <pageSetUpPr fitToPage="1"/>
  </sheetPr>
  <dimension ref="A1:Z1000"/>
  <sheetViews>
    <sheetView showGridLines="0" zoomScale="87" zoomScaleNormal="87" workbookViewId="0">
      <selection activeCell="A44" sqref="A44"/>
    </sheetView>
  </sheetViews>
  <sheetFormatPr defaultColWidth="12.7109375" defaultRowHeight="15" customHeight="1"/>
  <cols>
    <col min="1" max="1" width="13.28515625" customWidth="1"/>
    <col min="2" max="2" width="14" customWidth="1"/>
    <col min="3" max="3" width="54.7109375" customWidth="1"/>
    <col min="4" max="4" width="33.7109375" customWidth="1"/>
    <col min="5" max="5" width="4.28515625" customWidth="1"/>
    <col min="6" max="6" width="33.7109375" customWidth="1"/>
    <col min="7" max="7" width="34.7109375" customWidth="1"/>
  </cols>
  <sheetData>
    <row r="1" spans="1:26" ht="37.5" customHeight="1">
      <c r="A1" s="590" t="s">
        <v>315</v>
      </c>
      <c r="B1" s="444"/>
      <c r="C1" s="444"/>
      <c r="D1" s="444"/>
      <c r="E1" s="444"/>
      <c r="F1" s="444"/>
      <c r="G1" s="444"/>
    </row>
    <row r="2" spans="1:26" ht="18.75" customHeight="1">
      <c r="A2" s="115" t="s">
        <v>316</v>
      </c>
      <c r="B2" s="116" t="s">
        <v>317</v>
      </c>
      <c r="C2" s="117" t="str">
        <f>'support table'!$B$1</f>
        <v>[NAMA_PROYEK]</v>
      </c>
      <c r="D2" s="117"/>
      <c r="E2" s="118"/>
      <c r="F2" s="118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8.75" customHeight="1">
      <c r="A3" s="115" t="s">
        <v>318</v>
      </c>
      <c r="B3" s="116" t="s">
        <v>317</v>
      </c>
      <c r="C3" s="119" t="str">
        <f>'support table'!$B$3</f>
        <v>[NAMA_LOKASI]</v>
      </c>
      <c r="D3" s="119"/>
      <c r="E3" s="118"/>
      <c r="F3" s="118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8.75" customHeight="1">
      <c r="A4" s="115" t="s">
        <v>319</v>
      </c>
      <c r="B4" s="116" t="s">
        <v>317</v>
      </c>
      <c r="C4" s="120" t="str">
        <f>'support table'!$B$4</f>
        <v>[ID_LOKASI]</v>
      </c>
      <c r="D4" s="119"/>
      <c r="E4" s="118"/>
      <c r="F4" s="118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5.75" customHeight="1">
      <c r="A5" s="115" t="s">
        <v>320</v>
      </c>
      <c r="B5" s="116" t="s">
        <v>317</v>
      </c>
      <c r="C5" s="121"/>
      <c r="D5" s="12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2.75" customHeight="1">
      <c r="A6" s="26"/>
      <c r="B6" s="26"/>
    </row>
    <row r="7" spans="1:26" ht="31.5" customHeight="1">
      <c r="A7" s="122" t="s">
        <v>321</v>
      </c>
      <c r="B7" s="591" t="s">
        <v>322</v>
      </c>
      <c r="C7" s="462"/>
      <c r="D7" s="123" t="s">
        <v>323</v>
      </c>
      <c r="E7" s="124"/>
      <c r="F7" s="123" t="s">
        <v>324</v>
      </c>
      <c r="G7" s="123" t="s">
        <v>325</v>
      </c>
    </row>
    <row r="8" spans="1:26" ht="16.899999999999999" customHeight="1">
      <c r="A8" s="125"/>
      <c r="B8" s="589"/>
      <c r="C8" s="462"/>
      <c r="D8" s="92"/>
      <c r="E8" s="126"/>
      <c r="F8" s="92"/>
      <c r="G8" s="92"/>
    </row>
    <row r="9" spans="1:26" ht="16.899999999999999" customHeight="1">
      <c r="A9" s="125"/>
      <c r="B9" s="589"/>
      <c r="C9" s="462"/>
      <c r="D9" s="92"/>
      <c r="E9" s="126"/>
      <c r="F9" s="92"/>
      <c r="G9" s="92"/>
    </row>
    <row r="10" spans="1:26" ht="16.899999999999999" customHeight="1">
      <c r="A10" s="125"/>
      <c r="B10" s="589"/>
      <c r="C10" s="462"/>
      <c r="D10" s="92"/>
      <c r="E10" s="126"/>
      <c r="F10" s="92"/>
      <c r="G10" s="92"/>
    </row>
    <row r="11" spans="1:26" ht="16.899999999999999" customHeight="1">
      <c r="A11" s="125"/>
      <c r="B11" s="589"/>
      <c r="C11" s="462"/>
      <c r="D11" s="92"/>
      <c r="E11" s="126"/>
      <c r="F11" s="92"/>
      <c r="G11" s="92"/>
    </row>
    <row r="12" spans="1:26" ht="16.899999999999999" customHeight="1">
      <c r="A12" s="125"/>
      <c r="B12" s="589"/>
      <c r="C12" s="462"/>
      <c r="D12" s="92"/>
      <c r="E12" s="126"/>
      <c r="F12" s="92"/>
      <c r="G12" s="92"/>
    </row>
    <row r="13" spans="1:26" ht="16.899999999999999" customHeight="1">
      <c r="A13" s="125"/>
      <c r="B13" s="589"/>
      <c r="C13" s="462"/>
      <c r="D13" s="92"/>
      <c r="E13" s="126"/>
      <c r="F13" s="92"/>
      <c r="G13" s="92"/>
    </row>
    <row r="14" spans="1:26" ht="16.899999999999999" customHeight="1">
      <c r="A14" s="125"/>
      <c r="B14" s="589"/>
      <c r="C14" s="462"/>
      <c r="D14" s="92"/>
      <c r="E14" s="126"/>
      <c r="F14" s="92"/>
      <c r="G14" s="92"/>
    </row>
    <row r="15" spans="1:26" ht="16.899999999999999" customHeight="1">
      <c r="A15" s="125"/>
      <c r="B15" s="589"/>
      <c r="C15" s="462"/>
      <c r="D15" s="92"/>
      <c r="E15" s="126"/>
      <c r="F15" s="92"/>
      <c r="G15" s="92"/>
    </row>
    <row r="16" spans="1:26" ht="16.899999999999999" customHeight="1">
      <c r="A16" s="125"/>
      <c r="B16" s="589"/>
      <c r="C16" s="462"/>
      <c r="D16" s="92"/>
      <c r="E16" s="126"/>
      <c r="F16" s="92"/>
      <c r="G16" s="92"/>
    </row>
    <row r="17" spans="1:7" ht="16.899999999999999" customHeight="1">
      <c r="A17" s="125"/>
      <c r="B17" s="589"/>
      <c r="C17" s="462"/>
      <c r="D17" s="92"/>
      <c r="E17" s="126"/>
      <c r="F17" s="92"/>
      <c r="G17" s="92"/>
    </row>
    <row r="18" spans="1:7" ht="16.899999999999999" customHeight="1">
      <c r="A18" s="125"/>
      <c r="B18" s="589"/>
      <c r="C18" s="462"/>
      <c r="D18" s="92"/>
      <c r="E18" s="126"/>
      <c r="F18" s="92"/>
      <c r="G18" s="92"/>
    </row>
    <row r="19" spans="1:7" ht="16.899999999999999" customHeight="1">
      <c r="A19" s="125"/>
      <c r="B19" s="589"/>
      <c r="C19" s="462"/>
      <c r="D19" s="92"/>
      <c r="E19" s="126"/>
      <c r="F19" s="92"/>
      <c r="G19" s="92"/>
    </row>
    <row r="20" spans="1:7" ht="16.899999999999999" customHeight="1">
      <c r="A20" s="125"/>
      <c r="B20" s="589"/>
      <c r="C20" s="462"/>
      <c r="D20" s="92"/>
      <c r="E20" s="126"/>
      <c r="F20" s="92"/>
      <c r="G20" s="92"/>
    </row>
    <row r="21" spans="1:7" ht="16.899999999999999" customHeight="1">
      <c r="A21" s="125"/>
      <c r="B21" s="589"/>
      <c r="C21" s="462"/>
      <c r="D21" s="92"/>
      <c r="E21" s="126"/>
      <c r="F21" s="92"/>
      <c r="G21" s="92"/>
    </row>
    <row r="22" spans="1:7" ht="16.899999999999999" customHeight="1">
      <c r="A22" s="125"/>
      <c r="B22" s="589"/>
      <c r="C22" s="462"/>
      <c r="D22" s="92"/>
      <c r="E22" s="126"/>
      <c r="F22" s="92"/>
      <c r="G22" s="92"/>
    </row>
    <row r="23" spans="1:7" ht="16.899999999999999" customHeight="1">
      <c r="A23" s="125"/>
      <c r="B23" s="589"/>
      <c r="C23" s="462"/>
      <c r="D23" s="92"/>
      <c r="E23" s="126"/>
      <c r="F23" s="92"/>
      <c r="G23" s="92"/>
    </row>
    <row r="24" spans="1:7" ht="16.899999999999999" customHeight="1">
      <c r="A24" s="125"/>
      <c r="B24" s="589"/>
      <c r="C24" s="462"/>
      <c r="D24" s="92"/>
      <c r="E24" s="126"/>
      <c r="F24" s="92"/>
      <c r="G24" s="92"/>
    </row>
    <row r="25" spans="1:7" ht="16.899999999999999" customHeight="1">
      <c r="A25" s="125"/>
      <c r="B25" s="589"/>
      <c r="C25" s="462"/>
      <c r="D25" s="92"/>
      <c r="E25" s="126"/>
      <c r="F25" s="92"/>
      <c r="G25" s="92"/>
    </row>
    <row r="26" spans="1:7" ht="16.899999999999999" customHeight="1">
      <c r="A26" s="125"/>
      <c r="B26" s="589"/>
      <c r="C26" s="462"/>
      <c r="D26" s="92"/>
      <c r="E26" s="126"/>
      <c r="F26" s="92"/>
      <c r="G26" s="92"/>
    </row>
    <row r="27" spans="1:7" ht="16.899999999999999" customHeight="1">
      <c r="A27" s="125"/>
      <c r="B27" s="589"/>
      <c r="C27" s="462"/>
      <c r="D27" s="92"/>
      <c r="E27" s="126"/>
      <c r="F27" s="92"/>
      <c r="G27" s="92"/>
    </row>
    <row r="28" spans="1:7" ht="12.75" customHeight="1"/>
    <row r="29" spans="1:7" ht="12.75" customHeight="1"/>
    <row r="30" spans="1:7" ht="12.75" customHeight="1">
      <c r="A30" s="20" t="s">
        <v>47</v>
      </c>
      <c r="B30" s="21"/>
    </row>
    <row r="31" spans="1:7" ht="18" customHeight="1">
      <c r="A31" s="23"/>
      <c r="B31" s="23"/>
      <c r="C31" s="22"/>
      <c r="D31" s="22"/>
      <c r="E31" s="6"/>
    </row>
    <row r="32" spans="1:7" ht="25.5" customHeight="1">
      <c r="A32" s="587" t="s">
        <v>326</v>
      </c>
      <c r="B32" s="444"/>
      <c r="C32" s="21"/>
      <c r="D32" s="22" t="s">
        <v>49</v>
      </c>
      <c r="E32" s="128"/>
      <c r="F32" s="22" t="s">
        <v>326</v>
      </c>
      <c r="G32" s="22" t="s">
        <v>49</v>
      </c>
    </row>
    <row r="33" spans="1:7" ht="12.75" customHeight="1">
      <c r="A33" s="40" t="str">
        <f>"Name: " &amp; 'support table'!$B$10</f>
        <v>Name: [REP_VENDOR]</v>
      </c>
      <c r="B33" s="29"/>
      <c r="C33" s="40"/>
      <c r="D33" s="40" t="str">
        <f>"Name: " &amp; 'support table'!$B$13</f>
        <v>Name: [REP_CUSTOMER]</v>
      </c>
      <c r="F33" s="40" t="str">
        <f>"Name: " &amp; 'support table'!$B$10</f>
        <v>Name: [REP_VENDOR]</v>
      </c>
      <c r="G33" s="40" t="str">
        <f>"Name: " &amp; 'support table'!$B$13</f>
        <v>Name: [REP_CUSTOMER]</v>
      </c>
    </row>
    <row r="34" spans="1:7" ht="12.75" customHeight="1">
      <c r="A34" s="467" t="s">
        <v>51</v>
      </c>
      <c r="B34" s="444"/>
      <c r="C34" s="23"/>
      <c r="D34" s="23" t="s">
        <v>51</v>
      </c>
      <c r="F34" s="23" t="s">
        <v>51</v>
      </c>
      <c r="G34" s="23" t="s">
        <v>51</v>
      </c>
    </row>
    <row r="35" spans="1:7" ht="12.75" customHeight="1">
      <c r="A35" s="129" t="s">
        <v>52</v>
      </c>
      <c r="B35" s="129"/>
      <c r="C35" s="129"/>
      <c r="D35" s="129" t="s">
        <v>52</v>
      </c>
      <c r="F35" s="129" t="s">
        <v>52</v>
      </c>
      <c r="G35" s="129" t="s">
        <v>52</v>
      </c>
    </row>
    <row r="36" spans="1:7" ht="12.75" customHeight="1">
      <c r="A36" s="588" t="s">
        <v>54</v>
      </c>
      <c r="B36" s="444"/>
      <c r="C36" s="129"/>
      <c r="D36" s="129" t="s">
        <v>54</v>
      </c>
      <c r="F36" s="129" t="s">
        <v>54</v>
      </c>
      <c r="G36" s="129" t="s">
        <v>54</v>
      </c>
    </row>
    <row r="37" spans="1:7" ht="12.75" customHeight="1"/>
    <row r="38" spans="1:7" ht="12.75" customHeight="1"/>
    <row r="39" spans="1:7" ht="12.75" customHeight="1"/>
    <row r="40" spans="1:7" ht="12.75" customHeight="1"/>
    <row r="41" spans="1:7" ht="12.75" customHeight="1"/>
    <row r="42" spans="1:7" ht="12.75" customHeight="1"/>
    <row r="43" spans="1:7" ht="12.75" customHeight="1"/>
    <row r="44" spans="1:7" ht="12.75" customHeight="1"/>
    <row r="45" spans="1:7" ht="12.75" customHeight="1"/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G1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7:C27"/>
    <mergeCell ref="A32:B32"/>
    <mergeCell ref="A34:B34"/>
    <mergeCell ref="A36:B36"/>
    <mergeCell ref="B20:C20"/>
    <mergeCell ref="B21:C21"/>
    <mergeCell ref="B22:C22"/>
    <mergeCell ref="B23:C23"/>
    <mergeCell ref="B24:C24"/>
    <mergeCell ref="B25:C25"/>
    <mergeCell ref="B26:C26"/>
  </mergeCells>
  <pageMargins left="0.7" right="0.7" top="0.75" bottom="0.75" header="0" footer="0"/>
  <pageSetup scale="66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B75B-6A12-4F3E-AAA5-C09D763A8AE5}">
  <sheetPr codeName="Sheet29">
    <tabColor rgb="FFFF0000"/>
    <pageSetUpPr fitToPage="1"/>
  </sheetPr>
  <dimension ref="A1:Z1000"/>
  <sheetViews>
    <sheetView showGridLines="0" zoomScale="124" zoomScaleNormal="124" workbookViewId="0">
      <selection activeCell="A26" sqref="A26"/>
    </sheetView>
  </sheetViews>
  <sheetFormatPr defaultColWidth="12.7109375" defaultRowHeight="15" customHeight="1"/>
  <cols>
    <col min="1" max="1" width="7.28515625" style="279" customWidth="1"/>
    <col min="2" max="2" width="19.7109375" style="279" customWidth="1"/>
    <col min="3" max="3" width="15.28515625" style="279" customWidth="1"/>
    <col min="4" max="4" width="10.7109375" style="279" customWidth="1"/>
    <col min="5" max="5" width="30.7109375" style="279" customWidth="1"/>
    <col min="6" max="6" width="8" style="279" customWidth="1"/>
    <col min="7" max="7" width="23.7109375" style="279" customWidth="1"/>
    <col min="8" max="8" width="11.28515625" style="279" customWidth="1"/>
    <col min="9" max="26" width="15" style="279" customWidth="1"/>
    <col min="27" max="16384" width="12.7109375" style="279"/>
  </cols>
  <sheetData>
    <row r="1" spans="1:26" ht="42.75" customHeight="1">
      <c r="A1" s="594" t="s">
        <v>8</v>
      </c>
      <c r="B1" s="595"/>
      <c r="C1" s="595"/>
      <c r="D1" s="595"/>
      <c r="E1" s="595"/>
      <c r="F1" s="595"/>
      <c r="G1" s="595"/>
      <c r="H1" s="595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spans="1:26" ht="30" customHeight="1">
      <c r="A2" s="596" t="s">
        <v>343</v>
      </c>
      <c r="B2" s="595"/>
      <c r="C2" s="595"/>
      <c r="D2" s="595"/>
      <c r="E2" s="595"/>
      <c r="F2" s="595"/>
      <c r="G2" s="595"/>
      <c r="H2" s="595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 spans="1:26">
      <c r="A3" s="280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</row>
    <row r="4" spans="1:26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</row>
    <row r="5" spans="1:26">
      <c r="A5" s="280"/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</row>
    <row r="6" spans="1:26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0"/>
      <c r="Z6" s="280"/>
    </row>
    <row r="7" spans="1:26">
      <c r="A7" s="280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</row>
    <row r="8" spans="1:26">
      <c r="A8" s="280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</row>
    <row r="9" spans="1:26">
      <c r="A9" s="280"/>
      <c r="B9" s="280"/>
      <c r="C9" s="280"/>
      <c r="D9" s="280"/>
      <c r="E9" s="280"/>
      <c r="F9" s="280"/>
      <c r="G9" s="280"/>
      <c r="H9" s="280"/>
      <c r="I9" s="280"/>
      <c r="J9" s="280"/>
      <c r="K9" s="280"/>
      <c r="L9" s="280"/>
      <c r="M9" s="280"/>
      <c r="N9" s="280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</row>
    <row r="10" spans="1:26">
      <c r="A10" s="280"/>
      <c r="B10" s="280"/>
      <c r="C10" s="280"/>
      <c r="D10" s="280"/>
      <c r="E10" s="280"/>
      <c r="F10" s="280"/>
      <c r="G10" s="280"/>
      <c r="H10" s="280"/>
      <c r="I10" s="280"/>
      <c r="J10" s="280"/>
      <c r="K10" s="280"/>
      <c r="L10" s="280"/>
      <c r="M10" s="280"/>
      <c r="N10" s="280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</row>
    <row r="11" spans="1:26">
      <c r="A11" s="280"/>
      <c r="B11" s="280"/>
      <c r="C11" s="280"/>
      <c r="D11" s="280"/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</row>
    <row r="12" spans="1:26">
      <c r="A12" s="280"/>
      <c r="B12" s="280"/>
      <c r="C12" s="280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</row>
    <row r="13" spans="1:26">
      <c r="A13" s="280"/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</row>
    <row r="14" spans="1:26">
      <c r="A14" s="280"/>
      <c r="B14" s="280"/>
      <c r="C14" s="280"/>
      <c r="D14" s="280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</row>
    <row r="15" spans="1:26" ht="15.75">
      <c r="A15" s="280"/>
      <c r="B15" s="280"/>
      <c r="C15" s="280" t="s">
        <v>6</v>
      </c>
      <c r="D15" s="294" t="str">
        <f xml:space="preserve"> 'support table'!$B$3</f>
        <v>[NAMA_LOKASI]</v>
      </c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</row>
    <row r="16" spans="1:26">
      <c r="A16" s="280"/>
      <c r="B16" s="280"/>
      <c r="C16" s="280"/>
      <c r="D16" s="280"/>
      <c r="E16" s="280"/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 spans="1:26" ht="20.25" customHeight="1">
      <c r="A17" s="282" t="s">
        <v>47</v>
      </c>
      <c r="B17" s="293"/>
      <c r="C17" s="292"/>
      <c r="D17" s="291"/>
      <c r="E17" s="291"/>
      <c r="F17" s="287"/>
      <c r="G17" s="287"/>
      <c r="H17" s="289"/>
      <c r="I17" s="289"/>
      <c r="J17" s="289"/>
      <c r="K17" s="289"/>
      <c r="L17" s="289"/>
      <c r="M17" s="289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</row>
    <row r="18" spans="1:26" ht="24.75" customHeight="1">
      <c r="A18" s="287"/>
      <c r="B18" s="282" t="s">
        <v>344</v>
      </c>
      <c r="C18" s="282"/>
      <c r="D18" s="282"/>
      <c r="E18" s="282"/>
      <c r="F18" s="290" t="s">
        <v>49</v>
      </c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</row>
    <row r="19" spans="1:26">
      <c r="A19" s="280"/>
      <c r="B19" s="280"/>
      <c r="C19" s="280"/>
      <c r="D19" s="280"/>
      <c r="E19" s="282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</row>
    <row r="20" spans="1:26" ht="33" customHeight="1">
      <c r="A20" s="280"/>
      <c r="B20" s="597" t="str">
        <f>"Name: " &amp; 'support table'!$B$10</f>
        <v>Name: [REP_VENDOR]</v>
      </c>
      <c r="C20" s="598"/>
      <c r="D20" s="283"/>
      <c r="E20" s="282"/>
      <c r="F20" s="288" t="str">
        <f>"Name: " &amp; 'support table'!$B$13</f>
        <v>Name: [REP_CUSTOMER]</v>
      </c>
      <c r="G20" s="288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</row>
    <row r="21" spans="1:26" ht="33" customHeight="1">
      <c r="A21" s="280"/>
      <c r="B21" s="599" t="s">
        <v>51</v>
      </c>
      <c r="C21" s="600"/>
      <c r="D21" s="287"/>
      <c r="E21" s="282"/>
      <c r="F21" s="286" t="s">
        <v>51</v>
      </c>
      <c r="G21" s="280"/>
      <c r="H21" s="285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</row>
    <row r="22" spans="1:26" ht="33" customHeight="1">
      <c r="A22" s="280"/>
      <c r="B22" s="601" t="s">
        <v>52</v>
      </c>
      <c r="C22" s="598"/>
      <c r="D22" s="283"/>
      <c r="E22" s="282"/>
      <c r="F22" s="284" t="s">
        <v>53</v>
      </c>
      <c r="G22" s="284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</row>
    <row r="23" spans="1:26" ht="33" customHeight="1">
      <c r="A23" s="280"/>
      <c r="B23" s="592" t="s">
        <v>54</v>
      </c>
      <c r="C23" s="593"/>
      <c r="D23" s="283"/>
      <c r="E23" s="282"/>
      <c r="F23" s="281" t="s">
        <v>54</v>
      </c>
      <c r="G23" s="281"/>
      <c r="H23" s="280"/>
      <c r="I23" s="280"/>
      <c r="J23" s="280"/>
      <c r="K23" s="280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</row>
    <row r="24" spans="1:26" ht="15.75" customHeight="1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</row>
    <row r="25" spans="1:26" ht="15.75" customHeight="1">
      <c r="A25" s="280"/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</row>
    <row r="26" spans="1:26" ht="15.75" customHeight="1">
      <c r="A26" s="280"/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</row>
    <row r="27" spans="1:26" ht="15.75" customHeight="1">
      <c r="A27" s="280"/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</row>
    <row r="28" spans="1:26" ht="15.75" customHeight="1">
      <c r="A28" s="280"/>
      <c r="B28" s="280"/>
      <c r="C28" s="280"/>
      <c r="D28" s="280"/>
      <c r="E28" s="280"/>
      <c r="F28" s="280"/>
      <c r="G28" s="280"/>
      <c r="H28" s="280"/>
      <c r="I28" s="280"/>
      <c r="J28" s="280"/>
      <c r="K28" s="280"/>
      <c r="L28" s="280"/>
      <c r="M28" s="280"/>
      <c r="N28" s="280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</row>
    <row r="29" spans="1:26" ht="15.75" customHeight="1">
      <c r="A29" s="280"/>
      <c r="B29" s="280"/>
      <c r="C29" s="280"/>
      <c r="D29" s="280"/>
      <c r="E29" s="280"/>
      <c r="F29" s="280"/>
      <c r="G29" s="280"/>
      <c r="H29" s="280"/>
      <c r="I29" s="280"/>
      <c r="J29" s="280"/>
      <c r="K29" s="280"/>
      <c r="L29" s="280"/>
      <c r="M29" s="280"/>
      <c r="N29" s="280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 spans="1:26" ht="15.75" customHeight="1">
      <c r="A30" s="280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 spans="1:26" ht="15.75" customHeight="1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 spans="1:26" ht="15.75" customHeight="1">
      <c r="A32" s="280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 spans="1:26" ht="15.75" customHeight="1">
      <c r="A33" s="280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 spans="1:26" ht="15.75" customHeight="1">
      <c r="A34" s="280"/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 spans="1:26" ht="15.75" customHeight="1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 spans="1:26" ht="15.75" customHeight="1">
      <c r="A36" s="280"/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 spans="1:26" ht="15.75" customHeight="1">
      <c r="A37" s="280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 spans="1:26" ht="15.75" customHeight="1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 spans="1:26" ht="15.75" customHeight="1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</row>
    <row r="40" spans="1:26" ht="15.75" customHeight="1">
      <c r="A40" s="280"/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</row>
    <row r="41" spans="1:26" ht="15.75" customHeight="1">
      <c r="A41" s="280"/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</row>
    <row r="42" spans="1:26" ht="15.75" customHeight="1">
      <c r="A42" s="280"/>
      <c r="B42" s="280"/>
      <c r="C42" s="280"/>
      <c r="D42" s="280"/>
      <c r="E42" s="280"/>
      <c r="F42" s="280"/>
      <c r="G42" s="280"/>
      <c r="H42" s="280"/>
      <c r="I42" s="280"/>
      <c r="J42" s="280"/>
      <c r="K42" s="280"/>
      <c r="L42" s="280"/>
      <c r="M42" s="280"/>
      <c r="N42" s="280"/>
      <c r="O42" s="280"/>
      <c r="P42" s="280"/>
      <c r="Q42" s="280"/>
      <c r="R42" s="280"/>
      <c r="S42" s="280"/>
      <c r="T42" s="280"/>
      <c r="U42" s="280"/>
      <c r="V42" s="280"/>
      <c r="W42" s="280"/>
      <c r="X42" s="280"/>
      <c r="Y42" s="280"/>
      <c r="Z42" s="280"/>
    </row>
    <row r="43" spans="1:26" ht="15.75" customHeight="1">
      <c r="A43" s="280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</row>
    <row r="44" spans="1:26" ht="15.75" customHeight="1">
      <c r="A44" s="280"/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</row>
    <row r="45" spans="1:26" ht="15.75" customHeight="1">
      <c r="A45" s="280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</row>
    <row r="46" spans="1:26" ht="15.75" customHeight="1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280"/>
    </row>
    <row r="47" spans="1:26" ht="15.75" customHeight="1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</row>
    <row r="48" spans="1:26" ht="15.75" customHeight="1">
      <c r="A48" s="280"/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</row>
    <row r="49" spans="1:26" ht="15.75" customHeight="1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</row>
    <row r="50" spans="1:26" ht="15.75" customHeight="1">
      <c r="A50" s="280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</row>
    <row r="51" spans="1:26" ht="15.75" customHeight="1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</row>
    <row r="52" spans="1:26" ht="15.75" customHeight="1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</row>
    <row r="53" spans="1:26" ht="15.75" customHeight="1">
      <c r="A53" s="280"/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</row>
    <row r="54" spans="1:26" ht="15.75" customHeight="1">
      <c r="A54" s="280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</row>
    <row r="55" spans="1:26" ht="15.75" customHeight="1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</row>
    <row r="56" spans="1:26" ht="15.75" customHeight="1">
      <c r="A56" s="280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</row>
    <row r="57" spans="1:26" ht="15.75" customHeight="1">
      <c r="A57" s="280"/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</row>
    <row r="58" spans="1:26" ht="15.75" customHeight="1">
      <c r="A58" s="280"/>
      <c r="B58" s="280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</row>
    <row r="59" spans="1:26" ht="15.75" customHeight="1">
      <c r="A59" s="280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</row>
    <row r="60" spans="1:26" ht="15.75" customHeight="1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</row>
    <row r="61" spans="1:26" ht="15.75" customHeight="1">
      <c r="A61" s="280"/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</row>
    <row r="62" spans="1:26" ht="15.75" customHeight="1">
      <c r="A62" s="280"/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</row>
    <row r="63" spans="1:26" ht="15.75" customHeight="1">
      <c r="A63" s="280"/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</row>
    <row r="64" spans="1:26" ht="15.75" customHeight="1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</row>
    <row r="65" spans="1:26" ht="15.75" customHeight="1">
      <c r="A65" s="280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</row>
    <row r="66" spans="1:26" ht="15.75" customHeight="1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</row>
    <row r="67" spans="1:26" ht="15.75" customHeight="1">
      <c r="A67" s="280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</row>
    <row r="68" spans="1:26" ht="15.75" customHeight="1">
      <c r="A68" s="280"/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</row>
    <row r="69" spans="1:26" ht="15.75" customHeight="1">
      <c r="A69" s="280"/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</row>
    <row r="70" spans="1:26" ht="15.75" customHeight="1">
      <c r="A70" s="280"/>
      <c r="B70" s="280"/>
      <c r="C70" s="280"/>
      <c r="D70" s="280"/>
      <c r="E70" s="280"/>
      <c r="F70" s="280"/>
      <c r="G70" s="280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</row>
    <row r="71" spans="1:26" ht="15.75" customHeight="1">
      <c r="A71" s="280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</row>
    <row r="72" spans="1:26" ht="15.75" customHeight="1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</row>
    <row r="73" spans="1:26" ht="15.75" customHeight="1">
      <c r="A73" s="280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</row>
    <row r="74" spans="1:26" ht="15.75" customHeight="1">
      <c r="A74" s="280"/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</row>
    <row r="75" spans="1:26" ht="15.75" customHeight="1">
      <c r="A75" s="280"/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</row>
    <row r="76" spans="1:26" ht="15.75" customHeight="1">
      <c r="A76" s="280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</row>
    <row r="77" spans="1:26" ht="15.75" customHeight="1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</row>
    <row r="78" spans="1:26" ht="15.75" customHeight="1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</row>
    <row r="79" spans="1:26" ht="15.75" customHeight="1">
      <c r="A79" s="280"/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</row>
    <row r="80" spans="1:26" ht="15.75" customHeight="1">
      <c r="A80" s="280"/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</row>
    <row r="81" spans="1:26" ht="15.75" customHeight="1">
      <c r="A81" s="280"/>
      <c r="B81" s="280"/>
      <c r="C81" s="280"/>
      <c r="D81" s="280"/>
      <c r="E81" s="280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</row>
    <row r="82" spans="1:26" ht="15.75" customHeight="1">
      <c r="A82" s="280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</row>
    <row r="83" spans="1:26" ht="15.75" customHeight="1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</row>
    <row r="84" spans="1:26" ht="15.75" customHeight="1">
      <c r="A84" s="280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</row>
    <row r="85" spans="1:26" ht="15.75" customHeight="1">
      <c r="A85" s="280"/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</row>
    <row r="86" spans="1:26" ht="15.75" customHeight="1">
      <c r="A86" s="280"/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</row>
    <row r="87" spans="1:26" ht="15.75" customHeight="1">
      <c r="A87" s="280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</row>
    <row r="88" spans="1:26" ht="15.75" customHeight="1">
      <c r="A88" s="280"/>
      <c r="B88" s="280"/>
      <c r="C88" s="280"/>
      <c r="D88" s="280"/>
      <c r="E88" s="280"/>
      <c r="F88" s="280"/>
      <c r="G88" s="280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</row>
    <row r="89" spans="1:26" ht="15.75" customHeight="1">
      <c r="A89" s="280"/>
      <c r="B89" s="280"/>
      <c r="C89" s="280"/>
      <c r="D89" s="280"/>
      <c r="E89" s="280"/>
      <c r="F89" s="280"/>
      <c r="G89" s="280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</row>
    <row r="90" spans="1:26" ht="15.75" customHeight="1">
      <c r="A90" s="280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</row>
    <row r="91" spans="1:26" ht="15.75" customHeight="1">
      <c r="A91" s="280"/>
      <c r="B91" s="280"/>
      <c r="C91" s="280"/>
      <c r="D91" s="280"/>
      <c r="E91" s="280"/>
      <c r="F91" s="280"/>
      <c r="G91" s="280"/>
      <c r="H91" s="280"/>
      <c r="I91" s="280"/>
      <c r="J91" s="280"/>
      <c r="K91" s="280"/>
      <c r="L91" s="280"/>
      <c r="M91" s="280"/>
      <c r="N91" s="280"/>
      <c r="O91" s="280"/>
      <c r="P91" s="280"/>
      <c r="Q91" s="280"/>
      <c r="R91" s="280"/>
      <c r="S91" s="280"/>
      <c r="T91" s="280"/>
      <c r="U91" s="280"/>
      <c r="V91" s="280"/>
      <c r="W91" s="280"/>
      <c r="X91" s="280"/>
      <c r="Y91" s="280"/>
      <c r="Z91" s="280"/>
    </row>
    <row r="92" spans="1:26" ht="15.75" customHeight="1">
      <c r="A92" s="280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0"/>
      <c r="S92" s="280"/>
      <c r="T92" s="280"/>
      <c r="U92" s="280"/>
      <c r="V92" s="280"/>
      <c r="W92" s="280"/>
      <c r="X92" s="280"/>
      <c r="Y92" s="280"/>
      <c r="Z92" s="280"/>
    </row>
    <row r="93" spans="1:26" ht="15.75" customHeight="1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0"/>
      <c r="P93" s="280"/>
      <c r="Q93" s="280"/>
      <c r="R93" s="280"/>
      <c r="S93" s="280"/>
      <c r="T93" s="280"/>
      <c r="U93" s="280"/>
      <c r="V93" s="280"/>
      <c r="W93" s="280"/>
      <c r="X93" s="280"/>
      <c r="Y93" s="280"/>
      <c r="Z93" s="280"/>
    </row>
    <row r="94" spans="1:26" ht="15.75" customHeight="1">
      <c r="A94" s="280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</row>
    <row r="95" spans="1:26" ht="15.75" customHeight="1">
      <c r="A95" s="280"/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</row>
    <row r="96" spans="1:26" ht="15.75" customHeight="1">
      <c r="A96" s="280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</row>
    <row r="97" spans="1:26" ht="15.75" customHeight="1">
      <c r="A97" s="280"/>
      <c r="B97" s="280"/>
      <c r="C97" s="280"/>
      <c r="D97" s="280"/>
      <c r="E97" s="280"/>
      <c r="F97" s="280"/>
      <c r="G97" s="280"/>
      <c r="H97" s="280"/>
      <c r="I97" s="280"/>
      <c r="J97" s="280"/>
      <c r="K97" s="280"/>
      <c r="L97" s="280"/>
      <c r="M97" s="280"/>
      <c r="N97" s="280"/>
      <c r="O97" s="280"/>
      <c r="P97" s="280"/>
      <c r="Q97" s="280"/>
      <c r="R97" s="280"/>
      <c r="S97" s="280"/>
      <c r="T97" s="280"/>
      <c r="U97" s="280"/>
      <c r="V97" s="280"/>
      <c r="W97" s="280"/>
      <c r="X97" s="280"/>
      <c r="Y97" s="280"/>
      <c r="Z97" s="280"/>
    </row>
    <row r="98" spans="1:26" ht="15.75" customHeight="1">
      <c r="A98" s="280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</row>
    <row r="99" spans="1:26" ht="15.75" customHeight="1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</row>
    <row r="100" spans="1:26" ht="15.75" customHeight="1">
      <c r="A100" s="280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</row>
    <row r="101" spans="1:26" ht="15.75" customHeight="1">
      <c r="A101" s="280"/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</row>
    <row r="102" spans="1:26" ht="15.75" customHeight="1">
      <c r="A102" s="280"/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</row>
    <row r="103" spans="1:26" ht="15.75" customHeight="1">
      <c r="A103" s="280"/>
      <c r="B103" s="280"/>
      <c r="C103" s="280"/>
      <c r="D103" s="280"/>
      <c r="E103" s="280"/>
      <c r="F103" s="280"/>
      <c r="G103" s="280"/>
      <c r="H103" s="280"/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</row>
    <row r="104" spans="1:26" ht="15.75" customHeight="1">
      <c r="A104" s="280"/>
      <c r="B104" s="280"/>
      <c r="C104" s="280"/>
      <c r="D104" s="280"/>
      <c r="E104" s="280"/>
      <c r="F104" s="280"/>
      <c r="G104" s="280"/>
      <c r="H104" s="280"/>
      <c r="I104" s="280"/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</row>
    <row r="105" spans="1:26" ht="15.75" customHeight="1">
      <c r="A105" s="280"/>
      <c r="B105" s="280"/>
      <c r="C105" s="280"/>
      <c r="D105" s="280"/>
      <c r="E105" s="280"/>
      <c r="F105" s="280"/>
      <c r="G105" s="280"/>
      <c r="H105" s="280"/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</row>
    <row r="106" spans="1:26" ht="15.75" customHeight="1">
      <c r="A106" s="280"/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</row>
    <row r="107" spans="1:26" ht="15.75" customHeight="1">
      <c r="A107" s="280"/>
      <c r="B107" s="280"/>
      <c r="C107" s="280"/>
      <c r="D107" s="280"/>
      <c r="E107" s="280"/>
      <c r="F107" s="280"/>
      <c r="G107" s="280"/>
      <c r="H107" s="280"/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</row>
    <row r="108" spans="1:26" ht="15.75" customHeight="1">
      <c r="A108" s="280"/>
      <c r="B108" s="280"/>
      <c r="C108" s="280"/>
      <c r="D108" s="280"/>
      <c r="E108" s="280"/>
      <c r="F108" s="280"/>
      <c r="G108" s="280"/>
      <c r="H108" s="280"/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</row>
    <row r="109" spans="1:26" ht="15.75" customHeight="1">
      <c r="A109" s="280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</row>
    <row r="110" spans="1:26" ht="15.75" customHeight="1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</row>
    <row r="111" spans="1:26" ht="15.75" customHeight="1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</row>
    <row r="112" spans="1:26" ht="15.75" customHeight="1">
      <c r="A112" s="280"/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</row>
    <row r="113" spans="1:26" ht="15.75" customHeight="1">
      <c r="A113" s="280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</row>
    <row r="114" spans="1:26" ht="15.75" customHeight="1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</row>
    <row r="115" spans="1:26" ht="15.75" customHeight="1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</row>
    <row r="116" spans="1:26" ht="15.75" customHeight="1">
      <c r="A116" s="280"/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</row>
    <row r="117" spans="1:26" ht="15.75" customHeight="1">
      <c r="A117" s="280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</row>
    <row r="118" spans="1:26" ht="15.75" customHeight="1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</row>
    <row r="119" spans="1:26" ht="15.75" customHeight="1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</row>
    <row r="120" spans="1:26" ht="15.75" customHeight="1">
      <c r="A120" s="280"/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</row>
    <row r="121" spans="1:26" ht="15.75" customHeight="1">
      <c r="A121" s="280"/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</row>
    <row r="122" spans="1:26" ht="15.75" customHeight="1">
      <c r="A122" s="280"/>
      <c r="B122" s="280"/>
      <c r="C122" s="280"/>
      <c r="D122" s="280"/>
      <c r="E122" s="280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</row>
    <row r="123" spans="1:26" ht="15.75" customHeight="1">
      <c r="A123" s="280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</row>
    <row r="124" spans="1:26" ht="15.75" customHeight="1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</row>
    <row r="125" spans="1:26" ht="15.75" customHeight="1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</row>
    <row r="126" spans="1:26" ht="15.75" customHeight="1">
      <c r="A126" s="280"/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</row>
    <row r="127" spans="1:26" ht="15.75" customHeight="1">
      <c r="A127" s="280"/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</row>
    <row r="128" spans="1:26" ht="15.75" customHeight="1">
      <c r="A128" s="280"/>
      <c r="B128" s="280"/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280"/>
      <c r="W128" s="280"/>
      <c r="X128" s="280"/>
      <c r="Y128" s="280"/>
      <c r="Z128" s="280"/>
    </row>
    <row r="129" spans="1:26" ht="15.75" customHeight="1">
      <c r="A129" s="280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</row>
    <row r="130" spans="1:26" ht="15.75" customHeight="1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</row>
    <row r="131" spans="1:26" ht="15.75" customHeight="1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</row>
    <row r="132" spans="1:26" ht="15.75" customHeight="1">
      <c r="A132" s="280"/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</row>
    <row r="133" spans="1:26" ht="15.75" customHeight="1">
      <c r="A133" s="280"/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</row>
    <row r="134" spans="1:26" ht="15.75" customHeight="1">
      <c r="A134" s="280"/>
      <c r="B134" s="280"/>
      <c r="C134" s="280"/>
      <c r="D134" s="280"/>
      <c r="E134" s="280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280"/>
      <c r="W134" s="280"/>
      <c r="X134" s="280"/>
      <c r="Y134" s="280"/>
      <c r="Z134" s="280"/>
    </row>
    <row r="135" spans="1:26" ht="15.75" customHeight="1">
      <c r="A135" s="280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80"/>
      <c r="W135" s="280"/>
      <c r="X135" s="280"/>
      <c r="Y135" s="280"/>
      <c r="Z135" s="280"/>
    </row>
    <row r="136" spans="1:26" ht="15.75" customHeight="1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  <c r="S136" s="280"/>
      <c r="T136" s="280"/>
      <c r="U136" s="280"/>
      <c r="V136" s="280"/>
      <c r="W136" s="280"/>
      <c r="X136" s="280"/>
      <c r="Y136" s="280"/>
      <c r="Z136" s="280"/>
    </row>
    <row r="137" spans="1:26" ht="15.75" customHeight="1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</row>
    <row r="138" spans="1:26" ht="15.75" customHeight="1">
      <c r="A138" s="280"/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</row>
    <row r="139" spans="1:26" ht="15.75" customHeight="1">
      <c r="A139" s="280"/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</row>
    <row r="140" spans="1:26" ht="15.75" customHeight="1">
      <c r="A140" s="280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  <c r="V140" s="280"/>
      <c r="W140" s="280"/>
      <c r="X140" s="280"/>
      <c r="Y140" s="280"/>
      <c r="Z140" s="280"/>
    </row>
    <row r="141" spans="1:26" ht="15.75" customHeight="1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  <c r="V141" s="280"/>
      <c r="W141" s="280"/>
      <c r="X141" s="280"/>
      <c r="Y141" s="280"/>
      <c r="Z141" s="280"/>
    </row>
    <row r="142" spans="1:26" ht="15.75" customHeight="1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</row>
    <row r="143" spans="1:26" ht="15.75" customHeight="1">
      <c r="A143" s="280"/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</row>
    <row r="144" spans="1:26" ht="15.75" customHeight="1">
      <c r="A144" s="280"/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</row>
    <row r="145" spans="1:26" ht="15.75" customHeight="1">
      <c r="A145" s="280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  <c r="W145" s="280"/>
      <c r="X145" s="280"/>
      <c r="Y145" s="280"/>
      <c r="Z145" s="280"/>
    </row>
    <row r="146" spans="1:26" ht="15.75" customHeight="1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0"/>
      <c r="P146" s="280"/>
      <c r="Q146" s="280"/>
      <c r="R146" s="280"/>
      <c r="S146" s="280"/>
      <c r="T146" s="280"/>
      <c r="U146" s="280"/>
      <c r="V146" s="280"/>
      <c r="W146" s="280"/>
      <c r="X146" s="280"/>
      <c r="Y146" s="280"/>
      <c r="Z146" s="280"/>
    </row>
    <row r="147" spans="1:26" ht="15.75" customHeight="1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</row>
    <row r="148" spans="1:26" ht="15.75" customHeight="1">
      <c r="A148" s="280"/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</row>
    <row r="149" spans="1:26" ht="15.75" customHeight="1">
      <c r="A149" s="280"/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</row>
    <row r="150" spans="1:26" ht="15.75" customHeight="1">
      <c r="A150" s="280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  <c r="S150" s="280"/>
      <c r="T150" s="280"/>
      <c r="U150" s="280"/>
      <c r="V150" s="280"/>
      <c r="W150" s="280"/>
      <c r="X150" s="280"/>
      <c r="Y150" s="280"/>
      <c r="Z150" s="280"/>
    </row>
    <row r="151" spans="1:26" ht="15.75" customHeight="1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  <c r="S151" s="280"/>
      <c r="T151" s="280"/>
      <c r="U151" s="280"/>
      <c r="V151" s="280"/>
      <c r="W151" s="280"/>
      <c r="X151" s="280"/>
      <c r="Y151" s="280"/>
      <c r="Z151" s="280"/>
    </row>
    <row r="152" spans="1:26" ht="15.75" customHeight="1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</row>
    <row r="153" spans="1:26" ht="15.75" customHeight="1">
      <c r="A153" s="280"/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</row>
    <row r="154" spans="1:26" ht="15.75" customHeight="1">
      <c r="A154" s="280"/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</row>
    <row r="155" spans="1:26" ht="15.75" customHeight="1">
      <c r="A155" s="280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</row>
    <row r="156" spans="1:26" ht="15.75" customHeight="1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  <c r="S156" s="280"/>
      <c r="T156" s="280"/>
      <c r="U156" s="280"/>
      <c r="V156" s="280"/>
      <c r="W156" s="280"/>
      <c r="X156" s="280"/>
      <c r="Y156" s="280"/>
      <c r="Z156" s="280"/>
    </row>
    <row r="157" spans="1:26" ht="15.75" customHeight="1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  <c r="S157" s="280"/>
      <c r="T157" s="280"/>
      <c r="U157" s="280"/>
      <c r="V157" s="280"/>
      <c r="W157" s="280"/>
      <c r="X157" s="280"/>
      <c r="Y157" s="280"/>
      <c r="Z157" s="280"/>
    </row>
    <row r="158" spans="1:26" ht="15.75" customHeight="1">
      <c r="A158" s="280"/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</row>
    <row r="159" spans="1:26" ht="15.75" customHeight="1">
      <c r="A159" s="280"/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</row>
    <row r="160" spans="1:26" ht="15.75" customHeight="1">
      <c r="A160" s="280"/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</row>
    <row r="161" spans="1:26" ht="15.75" customHeight="1">
      <c r="A161" s="280"/>
      <c r="B161" s="280"/>
      <c r="C161" s="280"/>
      <c r="D161" s="280"/>
      <c r="E161" s="280"/>
      <c r="F161" s="280"/>
      <c r="G161" s="280"/>
      <c r="H161" s="280"/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  <c r="S161" s="280"/>
      <c r="T161" s="280"/>
      <c r="U161" s="280"/>
      <c r="V161" s="280"/>
      <c r="W161" s="280"/>
      <c r="X161" s="280"/>
      <c r="Y161" s="280"/>
      <c r="Z161" s="280"/>
    </row>
    <row r="162" spans="1:26" ht="15.75" customHeight="1">
      <c r="A162" s="280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  <c r="S162" s="280"/>
      <c r="T162" s="280"/>
      <c r="U162" s="280"/>
      <c r="V162" s="280"/>
      <c r="W162" s="280"/>
      <c r="X162" s="280"/>
      <c r="Y162" s="280"/>
      <c r="Z162" s="280"/>
    </row>
    <row r="163" spans="1:26" ht="15.75" customHeight="1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  <c r="S163" s="280"/>
      <c r="T163" s="280"/>
      <c r="U163" s="280"/>
      <c r="V163" s="280"/>
      <c r="W163" s="280"/>
      <c r="X163" s="280"/>
      <c r="Y163" s="280"/>
      <c r="Z163" s="280"/>
    </row>
    <row r="164" spans="1:26" ht="15.75" customHeight="1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  <c r="S164" s="280"/>
      <c r="T164" s="280"/>
      <c r="U164" s="280"/>
      <c r="V164" s="280"/>
      <c r="W164" s="280"/>
      <c r="X164" s="280"/>
      <c r="Y164" s="280"/>
      <c r="Z164" s="280"/>
    </row>
    <row r="165" spans="1:26" ht="15.75" customHeight="1">
      <c r="A165" s="280"/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</row>
    <row r="166" spans="1:26" ht="15.75" customHeight="1">
      <c r="A166" s="280"/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</row>
    <row r="167" spans="1:26" ht="15.75" customHeight="1">
      <c r="A167" s="280"/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</row>
    <row r="168" spans="1:26" ht="15.75" customHeight="1">
      <c r="A168" s="280"/>
      <c r="B168" s="280"/>
      <c r="C168" s="280"/>
      <c r="D168" s="280"/>
      <c r="E168" s="280"/>
      <c r="F168" s="280"/>
      <c r="G168" s="280"/>
      <c r="H168" s="280"/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  <c r="S168" s="280"/>
      <c r="T168" s="280"/>
      <c r="U168" s="280"/>
      <c r="V168" s="280"/>
      <c r="W168" s="280"/>
      <c r="X168" s="280"/>
      <c r="Y168" s="280"/>
      <c r="Z168" s="280"/>
    </row>
    <row r="169" spans="1:26" ht="15.75" customHeight="1">
      <c r="A169" s="280"/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</row>
    <row r="170" spans="1:26" ht="15.75" customHeight="1">
      <c r="A170" s="280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</row>
    <row r="171" spans="1:26" ht="15.75" customHeight="1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  <c r="S171" s="280"/>
      <c r="T171" s="280"/>
      <c r="U171" s="280"/>
      <c r="V171" s="280"/>
      <c r="W171" s="280"/>
      <c r="X171" s="280"/>
      <c r="Y171" s="280"/>
      <c r="Z171" s="280"/>
    </row>
    <row r="172" spans="1:26" ht="15.75" customHeight="1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</row>
    <row r="173" spans="1:26" ht="15.75" customHeight="1">
      <c r="A173" s="280"/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</row>
    <row r="174" spans="1:26" ht="15.75" customHeight="1">
      <c r="A174" s="280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  <c r="S174" s="280"/>
      <c r="T174" s="280"/>
      <c r="U174" s="280"/>
      <c r="V174" s="280"/>
      <c r="W174" s="280"/>
      <c r="X174" s="280"/>
      <c r="Y174" s="280"/>
      <c r="Z174" s="280"/>
    </row>
    <row r="175" spans="1:26" ht="15.75" customHeight="1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  <c r="S175" s="280"/>
      <c r="T175" s="280"/>
      <c r="U175" s="280"/>
      <c r="V175" s="280"/>
      <c r="W175" s="280"/>
      <c r="X175" s="280"/>
      <c r="Y175" s="280"/>
      <c r="Z175" s="280"/>
    </row>
    <row r="176" spans="1:26" ht="15.75" customHeight="1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</row>
    <row r="177" spans="1:26" ht="15.75" customHeight="1">
      <c r="A177" s="280"/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</row>
    <row r="178" spans="1:26" ht="15.75" customHeight="1">
      <c r="A178" s="280"/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</row>
    <row r="179" spans="1:26" ht="15.75" customHeight="1">
      <c r="A179" s="280"/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</row>
    <row r="180" spans="1:26" ht="15.75" customHeight="1">
      <c r="A180" s="280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0"/>
      <c r="P180" s="280"/>
      <c r="Q180" s="280"/>
      <c r="R180" s="280"/>
      <c r="S180" s="280"/>
      <c r="T180" s="280"/>
      <c r="U180" s="280"/>
      <c r="V180" s="280"/>
      <c r="W180" s="280"/>
      <c r="X180" s="280"/>
      <c r="Y180" s="280"/>
      <c r="Z180" s="280"/>
    </row>
    <row r="181" spans="1:26" ht="15.75" customHeight="1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0"/>
      <c r="P181" s="280"/>
      <c r="Q181" s="280"/>
      <c r="R181" s="280"/>
      <c r="S181" s="280"/>
      <c r="T181" s="280"/>
      <c r="U181" s="280"/>
      <c r="V181" s="280"/>
      <c r="W181" s="280"/>
      <c r="X181" s="280"/>
      <c r="Y181" s="280"/>
      <c r="Z181" s="280"/>
    </row>
    <row r="182" spans="1:26" ht="15.75" customHeight="1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</row>
    <row r="183" spans="1:26" ht="15.75" customHeight="1">
      <c r="A183" s="280"/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</row>
    <row r="184" spans="1:26" ht="15.75" customHeight="1">
      <c r="A184" s="280"/>
      <c r="B184" s="280"/>
      <c r="C184" s="280"/>
      <c r="D184" s="280"/>
      <c r="E184" s="280"/>
      <c r="F184" s="280"/>
      <c r="G184" s="280"/>
      <c r="H184" s="280"/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  <c r="S184" s="280"/>
      <c r="T184" s="280"/>
      <c r="U184" s="280"/>
      <c r="V184" s="280"/>
      <c r="W184" s="280"/>
      <c r="X184" s="280"/>
      <c r="Y184" s="280"/>
      <c r="Z184" s="280"/>
    </row>
    <row r="185" spans="1:26" ht="15.75" customHeight="1">
      <c r="A185" s="280"/>
      <c r="B185" s="280"/>
      <c r="C185" s="280"/>
      <c r="D185" s="280"/>
      <c r="E185" s="280"/>
      <c r="F185" s="280"/>
      <c r="G185" s="280"/>
      <c r="H185" s="280"/>
      <c r="I185" s="280"/>
      <c r="J185" s="280"/>
      <c r="K185" s="280"/>
      <c r="L185" s="280"/>
      <c r="M185" s="280"/>
      <c r="N185" s="280"/>
      <c r="O185" s="280"/>
      <c r="P185" s="280"/>
      <c r="Q185" s="280"/>
      <c r="R185" s="280"/>
      <c r="S185" s="280"/>
      <c r="T185" s="280"/>
      <c r="U185" s="280"/>
      <c r="V185" s="280"/>
      <c r="W185" s="280"/>
      <c r="X185" s="280"/>
      <c r="Y185" s="280"/>
      <c r="Z185" s="280"/>
    </row>
    <row r="186" spans="1:26" ht="15.75" customHeight="1">
      <c r="A186" s="280"/>
      <c r="B186" s="280"/>
      <c r="C186" s="280"/>
      <c r="D186" s="280"/>
      <c r="E186" s="280"/>
      <c r="F186" s="280"/>
      <c r="G186" s="280"/>
      <c r="H186" s="280"/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  <c r="S186" s="280"/>
      <c r="T186" s="280"/>
      <c r="U186" s="280"/>
      <c r="V186" s="280"/>
      <c r="W186" s="280"/>
      <c r="X186" s="280"/>
      <c r="Y186" s="280"/>
      <c r="Z186" s="280"/>
    </row>
    <row r="187" spans="1:26" ht="15.75" customHeight="1">
      <c r="A187" s="280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0"/>
      <c r="P187" s="280"/>
      <c r="Q187" s="280"/>
      <c r="R187" s="280"/>
      <c r="S187" s="280"/>
      <c r="T187" s="280"/>
      <c r="U187" s="280"/>
      <c r="V187" s="280"/>
      <c r="W187" s="280"/>
      <c r="X187" s="280"/>
      <c r="Y187" s="280"/>
      <c r="Z187" s="280"/>
    </row>
    <row r="188" spans="1:26" ht="15.75" customHeight="1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  <c r="S188" s="280"/>
      <c r="T188" s="280"/>
      <c r="U188" s="280"/>
      <c r="V188" s="280"/>
      <c r="W188" s="280"/>
      <c r="X188" s="280"/>
      <c r="Y188" s="280"/>
      <c r="Z188" s="280"/>
    </row>
    <row r="189" spans="1:26" ht="15.75" customHeight="1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</row>
    <row r="190" spans="1:26" ht="15.75" customHeight="1">
      <c r="A190" s="280"/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</row>
    <row r="191" spans="1:26" ht="15.75" customHeight="1">
      <c r="A191" s="280"/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</row>
    <row r="192" spans="1:26" ht="15.75" customHeight="1">
      <c r="A192" s="280"/>
      <c r="B192" s="280"/>
      <c r="C192" s="280"/>
      <c r="D192" s="280"/>
      <c r="E192" s="280"/>
      <c r="F192" s="280"/>
      <c r="G192" s="280"/>
      <c r="H192" s="280"/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  <c r="S192" s="280"/>
      <c r="T192" s="280"/>
      <c r="U192" s="280"/>
      <c r="V192" s="280"/>
      <c r="W192" s="280"/>
      <c r="X192" s="280"/>
      <c r="Y192" s="280"/>
      <c r="Z192" s="280"/>
    </row>
    <row r="193" spans="1:26" ht="15.75" customHeight="1">
      <c r="A193" s="280"/>
      <c r="B193" s="280"/>
      <c r="C193" s="280"/>
      <c r="D193" s="280"/>
      <c r="E193" s="280"/>
      <c r="F193" s="280"/>
      <c r="G193" s="280"/>
      <c r="H193" s="280"/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  <c r="S193" s="280"/>
      <c r="T193" s="280"/>
      <c r="U193" s="280"/>
      <c r="V193" s="280"/>
      <c r="W193" s="280"/>
      <c r="X193" s="280"/>
      <c r="Y193" s="280"/>
      <c r="Z193" s="280"/>
    </row>
    <row r="194" spans="1:26" ht="15.75" customHeight="1">
      <c r="A194" s="280"/>
      <c r="B194" s="280"/>
      <c r="C194" s="280"/>
      <c r="D194" s="280"/>
      <c r="E194" s="280"/>
      <c r="F194" s="280"/>
      <c r="G194" s="280"/>
      <c r="H194" s="280"/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  <c r="S194" s="280"/>
      <c r="T194" s="280"/>
      <c r="U194" s="280"/>
      <c r="V194" s="280"/>
      <c r="W194" s="280"/>
      <c r="X194" s="280"/>
      <c r="Y194" s="280"/>
      <c r="Z194" s="280"/>
    </row>
    <row r="195" spans="1:26" ht="15.75" customHeight="1">
      <c r="A195" s="280"/>
      <c r="B195" s="280"/>
      <c r="C195" s="280"/>
      <c r="D195" s="280"/>
      <c r="E195" s="280"/>
      <c r="F195" s="280"/>
      <c r="G195" s="280"/>
      <c r="H195" s="280"/>
      <c r="I195" s="280"/>
      <c r="J195" s="280"/>
      <c r="K195" s="280"/>
      <c r="L195" s="280"/>
      <c r="M195" s="280"/>
      <c r="N195" s="280"/>
      <c r="O195" s="280"/>
      <c r="P195" s="280"/>
      <c r="Q195" s="280"/>
      <c r="R195" s="280"/>
      <c r="S195" s="280"/>
      <c r="T195" s="280"/>
      <c r="U195" s="280"/>
      <c r="V195" s="280"/>
      <c r="W195" s="280"/>
      <c r="X195" s="280"/>
      <c r="Y195" s="280"/>
      <c r="Z195" s="280"/>
    </row>
    <row r="196" spans="1:26" ht="15.75" customHeight="1">
      <c r="A196" s="280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0"/>
      <c r="P196" s="280"/>
      <c r="Q196" s="280"/>
      <c r="R196" s="280"/>
      <c r="S196" s="280"/>
      <c r="T196" s="280"/>
      <c r="U196" s="280"/>
      <c r="V196" s="280"/>
      <c r="W196" s="280"/>
      <c r="X196" s="280"/>
      <c r="Y196" s="280"/>
      <c r="Z196" s="280"/>
    </row>
    <row r="197" spans="1:26" ht="15.75" customHeight="1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  <c r="S197" s="280"/>
      <c r="T197" s="280"/>
      <c r="U197" s="280"/>
      <c r="V197" s="280"/>
      <c r="W197" s="280"/>
      <c r="X197" s="280"/>
      <c r="Y197" s="280"/>
      <c r="Z197" s="280"/>
    </row>
    <row r="198" spans="1:26" ht="15.75" customHeight="1">
      <c r="A198" s="280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</row>
    <row r="199" spans="1:26" ht="15.75" customHeight="1">
      <c r="A199" s="280"/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</row>
    <row r="200" spans="1:26" ht="15.75" customHeight="1">
      <c r="A200" s="280"/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</row>
    <row r="201" spans="1:26" ht="15.75" customHeight="1">
      <c r="A201" s="280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0"/>
      <c r="P201" s="280"/>
      <c r="Q201" s="280"/>
      <c r="R201" s="280"/>
      <c r="S201" s="280"/>
      <c r="T201" s="280"/>
      <c r="U201" s="280"/>
      <c r="V201" s="280"/>
      <c r="W201" s="280"/>
      <c r="X201" s="280"/>
      <c r="Y201" s="280"/>
      <c r="Z201" s="280"/>
    </row>
    <row r="202" spans="1:26" ht="15.75" customHeight="1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0"/>
      <c r="P202" s="280"/>
      <c r="Q202" s="280"/>
      <c r="R202" s="280"/>
      <c r="S202" s="280"/>
      <c r="T202" s="280"/>
      <c r="U202" s="280"/>
      <c r="V202" s="280"/>
      <c r="W202" s="280"/>
      <c r="X202" s="280"/>
      <c r="Y202" s="280"/>
      <c r="Z202" s="280"/>
    </row>
    <row r="203" spans="1:26" ht="15.75" customHeight="1">
      <c r="A203" s="280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</row>
    <row r="204" spans="1:26" ht="15.75" customHeight="1">
      <c r="A204" s="280"/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</row>
    <row r="205" spans="1:26" ht="15.75" customHeight="1">
      <c r="A205" s="280"/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</row>
    <row r="206" spans="1:26" ht="15.75" customHeight="1">
      <c r="A206" s="280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0"/>
      <c r="P206" s="280"/>
      <c r="Q206" s="280"/>
      <c r="R206" s="280"/>
      <c r="S206" s="280"/>
      <c r="T206" s="280"/>
      <c r="U206" s="280"/>
      <c r="V206" s="280"/>
      <c r="W206" s="280"/>
      <c r="X206" s="280"/>
      <c r="Y206" s="280"/>
      <c r="Z206" s="280"/>
    </row>
    <row r="207" spans="1:26" ht="15.75" customHeight="1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  <c r="S207" s="280"/>
      <c r="T207" s="280"/>
      <c r="U207" s="280"/>
      <c r="V207" s="280"/>
      <c r="W207" s="280"/>
      <c r="X207" s="280"/>
      <c r="Y207" s="280"/>
      <c r="Z207" s="280"/>
    </row>
    <row r="208" spans="1:26" ht="15.75" customHeight="1">
      <c r="A208" s="280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</row>
    <row r="209" spans="1:26" ht="15.75" customHeight="1">
      <c r="A209" s="280"/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 spans="1:26" ht="15.75" customHeight="1">
      <c r="A210" s="280"/>
      <c r="B210" s="280"/>
      <c r="C210" s="280"/>
      <c r="D210" s="280"/>
      <c r="E210" s="280"/>
      <c r="F210" s="280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 spans="1:26" ht="15.75" customHeight="1">
      <c r="A211" s="280"/>
      <c r="B211" s="280"/>
      <c r="C211" s="280"/>
      <c r="D211" s="280"/>
      <c r="E211" s="280"/>
      <c r="F211" s="280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 spans="1:26" ht="15.75" customHeight="1">
      <c r="A212" s="280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 spans="1:26" ht="15.75" customHeight="1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 spans="1:26" ht="15.75" customHeight="1">
      <c r="A214" s="280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 spans="1:26" ht="15.75" customHeight="1">
      <c r="A215" s="280"/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</row>
    <row r="216" spans="1:26" ht="15.75" customHeight="1">
      <c r="A216" s="280"/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</row>
    <row r="217" spans="1:26" ht="15.75" customHeight="1">
      <c r="A217" s="280"/>
      <c r="B217" s="280"/>
      <c r="C217" s="280"/>
      <c r="D217" s="280"/>
      <c r="E217" s="280"/>
      <c r="F217" s="280"/>
      <c r="G217" s="280"/>
      <c r="H217" s="280"/>
      <c r="I217" s="280"/>
      <c r="J217" s="280"/>
      <c r="K217" s="280"/>
      <c r="L217" s="280"/>
      <c r="M217" s="280"/>
      <c r="N217" s="280"/>
      <c r="O217" s="280"/>
      <c r="P217" s="280"/>
      <c r="Q217" s="280"/>
      <c r="R217" s="280"/>
      <c r="S217" s="280"/>
      <c r="T217" s="280"/>
      <c r="U217" s="280"/>
      <c r="V217" s="280"/>
      <c r="W217" s="280"/>
      <c r="X217" s="280"/>
      <c r="Y217" s="280"/>
      <c r="Z217" s="280"/>
    </row>
    <row r="218" spans="1:26" ht="15.75" customHeight="1">
      <c r="A218" s="280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</row>
    <row r="219" spans="1:26" ht="15.75" customHeight="1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  <c r="S219" s="280"/>
      <c r="T219" s="280"/>
      <c r="U219" s="280"/>
      <c r="V219" s="280"/>
      <c r="W219" s="280"/>
      <c r="X219" s="280"/>
      <c r="Y219" s="280"/>
      <c r="Z219" s="280"/>
    </row>
    <row r="220" spans="1:26" ht="15.75" customHeight="1">
      <c r="A220" s="280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</row>
    <row r="221" spans="1:26" ht="15.75" customHeight="1">
      <c r="A221" s="280"/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</row>
    <row r="222" spans="1:26" ht="15.75" customHeight="1">
      <c r="A222" s="280"/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</row>
    <row r="223" spans="1:26" ht="15.75" customHeight="1">
      <c r="A223" s="280"/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</row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3:C23"/>
    <mergeCell ref="A1:H1"/>
    <mergeCell ref="A2:H2"/>
    <mergeCell ref="B20:C20"/>
    <mergeCell ref="B21:C21"/>
    <mergeCell ref="B22:C22"/>
  </mergeCells>
  <pageMargins left="0.7" right="0.7" top="0.75" bottom="0.75" header="0" footer="0"/>
  <pageSetup scale="98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4C0F-B7CC-4365-A7AB-D3B99EFD0D3B}">
  <sheetPr codeName="Sheet31">
    <tabColor rgb="FFFF0000"/>
    <pageSetUpPr fitToPage="1"/>
  </sheetPr>
  <dimension ref="A1:Z1000"/>
  <sheetViews>
    <sheetView showGridLines="0" zoomScale="85" workbookViewId="0">
      <selection activeCell="D4" sqref="D4"/>
    </sheetView>
  </sheetViews>
  <sheetFormatPr defaultColWidth="12.7109375" defaultRowHeight="15" customHeight="1"/>
  <cols>
    <col min="1" max="2" width="13.28515625" style="279" customWidth="1"/>
    <col min="3" max="3" width="21.42578125" style="279" customWidth="1"/>
    <col min="4" max="4" width="13.28515625" style="279" customWidth="1"/>
    <col min="5" max="7" width="10.7109375" style="279" customWidth="1"/>
    <col min="8" max="8" width="11" style="279" customWidth="1"/>
    <col min="9" max="10" width="13.28515625" style="279" customWidth="1"/>
    <col min="11" max="11" width="30.85546875" style="279" customWidth="1"/>
    <col min="12" max="13" width="10.7109375" style="279" customWidth="1"/>
    <col min="14" max="14" width="10" style="279" customWidth="1"/>
    <col min="15" max="15" width="12.28515625" style="279" customWidth="1"/>
    <col min="16" max="17" width="7" style="279" customWidth="1"/>
    <col min="18" max="16384" width="12.7109375" style="279"/>
  </cols>
  <sheetData>
    <row r="1" spans="1:26" ht="68.25" customHeight="1" thickBot="1">
      <c r="A1" s="615" t="s">
        <v>8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289"/>
      <c r="Q1" s="289"/>
    </row>
    <row r="2" spans="1:26" ht="15.75" customHeight="1" thickTop="1">
      <c r="A2" s="617" t="s">
        <v>345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289"/>
      <c r="Q2" s="289"/>
    </row>
    <row r="3" spans="1:26" ht="27.6" customHeight="1">
      <c r="A3" s="320" t="s">
        <v>346</v>
      </c>
      <c r="B3" s="611" t="str">
        <f>'support table'!$B$2</f>
        <v>[REGION]</v>
      </c>
      <c r="C3" s="598"/>
      <c r="D3" s="320"/>
      <c r="E3" s="289"/>
      <c r="F3" s="329"/>
      <c r="G3" s="329"/>
      <c r="H3" s="320" t="s">
        <v>11</v>
      </c>
      <c r="I3" s="602" t="str">
        <f>'support table'!$B$4</f>
        <v>[ID_LOKASI]</v>
      </c>
      <c r="J3" s="602"/>
      <c r="K3" s="602"/>
      <c r="L3" s="321"/>
      <c r="M3" s="320" t="s">
        <v>347</v>
      </c>
      <c r="N3" s="328" t="s">
        <v>348</v>
      </c>
      <c r="O3" s="327"/>
      <c r="P3" s="289"/>
      <c r="Q3" s="289"/>
      <c r="R3" s="317"/>
      <c r="S3" s="317"/>
      <c r="T3" s="317"/>
      <c r="U3" s="317"/>
      <c r="V3" s="317"/>
      <c r="W3" s="317"/>
      <c r="X3" s="317"/>
      <c r="Y3" s="317"/>
      <c r="Z3" s="317"/>
    </row>
    <row r="4" spans="1:26" ht="28.15" customHeight="1">
      <c r="A4" s="320" t="s">
        <v>349</v>
      </c>
      <c r="B4" s="611" t="str">
        <f>'support table'!$B$6</f>
        <v>[NAMA_OLT]</v>
      </c>
      <c r="C4" s="598"/>
      <c r="D4" s="320"/>
      <c r="E4" s="289"/>
      <c r="F4" s="326"/>
      <c r="G4" s="326"/>
      <c r="H4" s="320" t="s">
        <v>350</v>
      </c>
      <c r="I4" s="325"/>
      <c r="J4" s="322"/>
      <c r="K4" s="321"/>
      <c r="L4" s="320"/>
      <c r="M4" s="320" t="s">
        <v>351</v>
      </c>
      <c r="N4" s="609" t="str">
        <f>'support table'!$B$7</f>
        <v>[ID_FDT_FROM]</v>
      </c>
      <c r="O4" s="610"/>
      <c r="P4" s="289"/>
      <c r="Q4" s="289"/>
      <c r="R4" s="317"/>
      <c r="S4" s="317"/>
      <c r="T4" s="317"/>
      <c r="U4" s="317"/>
      <c r="V4" s="317"/>
      <c r="W4" s="317"/>
      <c r="X4" s="317"/>
      <c r="Y4" s="317"/>
      <c r="Z4" s="317"/>
    </row>
    <row r="5" spans="1:26" ht="20.45" customHeight="1">
      <c r="A5" s="320" t="s">
        <v>352</v>
      </c>
      <c r="B5" s="611" t="str">
        <f>'support table'!$B$5</f>
        <v>[ALAMAT]</v>
      </c>
      <c r="C5" s="598"/>
      <c r="D5" s="320"/>
      <c r="E5" s="289"/>
      <c r="F5" s="324"/>
      <c r="G5" s="324"/>
      <c r="H5" s="320" t="s">
        <v>353</v>
      </c>
      <c r="I5" s="323"/>
      <c r="J5" s="322"/>
      <c r="K5" s="321"/>
      <c r="L5" s="320"/>
      <c r="M5" s="320" t="s">
        <v>354</v>
      </c>
      <c r="N5" s="319"/>
      <c r="O5" s="318"/>
      <c r="P5" s="289"/>
      <c r="Q5" s="289"/>
      <c r="R5" s="317"/>
      <c r="S5" s="317"/>
      <c r="T5" s="317"/>
      <c r="U5" s="317"/>
      <c r="V5" s="317"/>
      <c r="W5" s="317"/>
      <c r="X5" s="317"/>
      <c r="Y5" s="317"/>
      <c r="Z5" s="317"/>
    </row>
    <row r="6" spans="1:26" ht="15.75" customHeight="1">
      <c r="A6" s="619"/>
      <c r="B6" s="595"/>
      <c r="C6" s="595"/>
      <c r="D6" s="595"/>
      <c r="E6" s="595"/>
      <c r="F6" s="595"/>
      <c r="G6" s="595"/>
      <c r="H6" s="595"/>
      <c r="I6" s="316"/>
      <c r="J6" s="295"/>
      <c r="K6" s="295"/>
      <c r="L6" s="295"/>
      <c r="M6" s="295"/>
      <c r="N6" s="310"/>
      <c r="O6" s="295"/>
      <c r="P6" s="295"/>
      <c r="Q6" s="295"/>
    </row>
    <row r="7" spans="1:26">
      <c r="A7" s="603" t="s">
        <v>355</v>
      </c>
      <c r="B7" s="603" t="s">
        <v>356</v>
      </c>
      <c r="C7" s="605" t="s">
        <v>357</v>
      </c>
      <c r="D7" s="606"/>
      <c r="E7" s="625" t="s">
        <v>358</v>
      </c>
      <c r="F7" s="593"/>
      <c r="G7" s="593"/>
      <c r="H7" s="626"/>
      <c r="I7" s="603" t="s">
        <v>355</v>
      </c>
      <c r="J7" s="605" t="s">
        <v>356</v>
      </c>
      <c r="K7" s="603" t="s">
        <v>357</v>
      </c>
      <c r="L7" s="625" t="s">
        <v>358</v>
      </c>
      <c r="M7" s="593"/>
      <c r="N7" s="593"/>
      <c r="O7" s="626"/>
      <c r="P7" s="313"/>
      <c r="Q7" s="313"/>
    </row>
    <row r="8" spans="1:26" ht="30" customHeight="1">
      <c r="A8" s="604"/>
      <c r="B8" s="604"/>
      <c r="C8" s="607"/>
      <c r="D8" s="608"/>
      <c r="E8" s="315" t="s">
        <v>359</v>
      </c>
      <c r="F8" s="314" t="s">
        <v>360</v>
      </c>
      <c r="G8" s="314" t="s">
        <v>359</v>
      </c>
      <c r="H8" s="314" t="s">
        <v>361</v>
      </c>
      <c r="I8" s="604"/>
      <c r="J8" s="607"/>
      <c r="K8" s="604"/>
      <c r="L8" s="315" t="s">
        <v>359</v>
      </c>
      <c r="M8" s="314" t="s">
        <v>360</v>
      </c>
      <c r="N8" s="314" t="s">
        <v>359</v>
      </c>
      <c r="O8" s="314" t="s">
        <v>361</v>
      </c>
      <c r="P8" s="313"/>
      <c r="Q8" s="313"/>
    </row>
    <row r="9" spans="1:26" s="309" customFormat="1" ht="19.149999999999999" customHeight="1">
      <c r="A9" s="620">
        <v>1</v>
      </c>
      <c r="B9" s="612" t="s">
        <v>515</v>
      </c>
      <c r="C9" s="627" t="s">
        <v>516</v>
      </c>
      <c r="D9" s="628"/>
      <c r="E9" s="620">
        <v>1</v>
      </c>
      <c r="F9" s="623" t="s">
        <v>502</v>
      </c>
      <c r="G9" s="311">
        <v>1</v>
      </c>
      <c r="H9" s="312" t="s">
        <v>503</v>
      </c>
      <c r="I9" s="620">
        <v>3</v>
      </c>
      <c r="J9" s="612" t="s">
        <v>515</v>
      </c>
      <c r="K9" s="612" t="s">
        <v>516</v>
      </c>
      <c r="L9" s="620">
        <v>1</v>
      </c>
      <c r="M9" s="623" t="s">
        <v>502</v>
      </c>
      <c r="N9" s="311">
        <v>1</v>
      </c>
      <c r="O9" s="312" t="s">
        <v>503</v>
      </c>
      <c r="P9" s="310"/>
      <c r="Q9" s="310"/>
    </row>
    <row r="10" spans="1:26" s="309" customFormat="1" ht="19.149999999999999" customHeight="1">
      <c r="A10" s="621"/>
      <c r="B10" s="613"/>
      <c r="C10" s="629"/>
      <c r="D10" s="630"/>
      <c r="E10" s="621"/>
      <c r="F10" s="624"/>
      <c r="G10" s="311">
        <v>2</v>
      </c>
      <c r="H10" s="312" t="s">
        <v>503</v>
      </c>
      <c r="I10" s="621"/>
      <c r="J10" s="613"/>
      <c r="K10" s="613"/>
      <c r="L10" s="621"/>
      <c r="M10" s="624"/>
      <c r="N10" s="311">
        <v>2</v>
      </c>
      <c r="O10" s="312" t="s">
        <v>503</v>
      </c>
      <c r="P10" s="310"/>
      <c r="Q10" s="310"/>
    </row>
    <row r="11" spans="1:26" s="309" customFormat="1" ht="19.149999999999999" customHeight="1">
      <c r="A11" s="621"/>
      <c r="B11" s="613"/>
      <c r="C11" s="629"/>
      <c r="D11" s="630"/>
      <c r="E11" s="621"/>
      <c r="F11" s="624"/>
      <c r="G11" s="311">
        <v>3</v>
      </c>
      <c r="H11" s="312" t="s">
        <v>503</v>
      </c>
      <c r="I11" s="621"/>
      <c r="J11" s="613"/>
      <c r="K11" s="613"/>
      <c r="L11" s="621"/>
      <c r="M11" s="624"/>
      <c r="N11" s="311">
        <v>3</v>
      </c>
      <c r="O11" s="312" t="s">
        <v>503</v>
      </c>
      <c r="P11" s="310"/>
      <c r="Q11" s="310"/>
    </row>
    <row r="12" spans="1:26" s="309" customFormat="1" ht="19.149999999999999" customHeight="1">
      <c r="A12" s="621"/>
      <c r="B12" s="613"/>
      <c r="C12" s="629"/>
      <c r="D12" s="630"/>
      <c r="E12" s="621"/>
      <c r="F12" s="624"/>
      <c r="G12" s="311">
        <v>4</v>
      </c>
      <c r="H12" s="312" t="s">
        <v>503</v>
      </c>
      <c r="I12" s="621"/>
      <c r="J12" s="613"/>
      <c r="K12" s="613"/>
      <c r="L12" s="621"/>
      <c r="M12" s="624"/>
      <c r="N12" s="311">
        <v>4</v>
      </c>
      <c r="O12" s="312" t="s">
        <v>503</v>
      </c>
      <c r="P12" s="310"/>
      <c r="Q12" s="310"/>
    </row>
    <row r="13" spans="1:26" s="309" customFormat="1" ht="19.149999999999999" customHeight="1">
      <c r="A13" s="621"/>
      <c r="B13" s="613"/>
      <c r="C13" s="629"/>
      <c r="D13" s="630"/>
      <c r="E13" s="621"/>
      <c r="F13" s="624"/>
      <c r="G13" s="311">
        <v>5</v>
      </c>
      <c r="H13" s="312" t="s">
        <v>503</v>
      </c>
      <c r="I13" s="621"/>
      <c r="J13" s="613"/>
      <c r="K13" s="613"/>
      <c r="L13" s="621"/>
      <c r="M13" s="624"/>
      <c r="N13" s="311">
        <v>5</v>
      </c>
      <c r="O13" s="312" t="s">
        <v>503</v>
      </c>
      <c r="P13" s="310"/>
      <c r="Q13" s="310"/>
    </row>
    <row r="14" spans="1:26" s="309" customFormat="1" ht="19.149999999999999" customHeight="1">
      <c r="A14" s="621"/>
      <c r="B14" s="613"/>
      <c r="C14" s="629"/>
      <c r="D14" s="630"/>
      <c r="E14" s="621"/>
      <c r="F14" s="624"/>
      <c r="G14" s="311">
        <v>6</v>
      </c>
      <c r="H14" s="312" t="s">
        <v>503</v>
      </c>
      <c r="I14" s="621"/>
      <c r="J14" s="613"/>
      <c r="K14" s="613"/>
      <c r="L14" s="621"/>
      <c r="M14" s="624"/>
      <c r="N14" s="311">
        <v>6</v>
      </c>
      <c r="O14" s="312" t="s">
        <v>503</v>
      </c>
      <c r="P14" s="310"/>
      <c r="Q14" s="310"/>
    </row>
    <row r="15" spans="1:26" s="309" customFormat="1" ht="19.149999999999999" customHeight="1">
      <c r="A15" s="621"/>
      <c r="B15" s="613"/>
      <c r="C15" s="629"/>
      <c r="D15" s="630"/>
      <c r="E15" s="621"/>
      <c r="F15" s="624"/>
      <c r="G15" s="311">
        <v>7</v>
      </c>
      <c r="H15" s="312" t="s">
        <v>503</v>
      </c>
      <c r="I15" s="621"/>
      <c r="J15" s="613"/>
      <c r="K15" s="613"/>
      <c r="L15" s="621"/>
      <c r="M15" s="624"/>
      <c r="N15" s="311">
        <v>7</v>
      </c>
      <c r="O15" s="312" t="s">
        <v>503</v>
      </c>
      <c r="P15" s="310"/>
      <c r="Q15" s="310"/>
    </row>
    <row r="16" spans="1:26" s="309" customFormat="1" ht="19.149999999999999" customHeight="1">
      <c r="A16" s="622"/>
      <c r="B16" s="614"/>
      <c r="C16" s="631"/>
      <c r="D16" s="632"/>
      <c r="E16" s="622"/>
      <c r="F16" s="624"/>
      <c r="G16" s="311">
        <v>8</v>
      </c>
      <c r="H16" s="312" t="s">
        <v>503</v>
      </c>
      <c r="I16" s="622"/>
      <c r="J16" s="614"/>
      <c r="K16" s="614"/>
      <c r="L16" s="622"/>
      <c r="M16" s="624"/>
      <c r="N16" s="311">
        <v>8</v>
      </c>
      <c r="O16" s="312" t="s">
        <v>503</v>
      </c>
      <c r="P16" s="310"/>
      <c r="Q16" s="310"/>
    </row>
    <row r="17" spans="1:26" s="309" customFormat="1" ht="19.149999999999999" customHeight="1">
      <c r="A17" s="620">
        <v>2</v>
      </c>
      <c r="B17" s="612" t="s">
        <v>515</v>
      </c>
      <c r="C17" s="627" t="s">
        <v>516</v>
      </c>
      <c r="D17" s="628"/>
      <c r="E17" s="620">
        <v>1</v>
      </c>
      <c r="F17" s="623" t="s">
        <v>502</v>
      </c>
      <c r="G17" s="311">
        <v>1</v>
      </c>
      <c r="H17" s="312" t="s">
        <v>503</v>
      </c>
      <c r="I17" s="620">
        <v>4</v>
      </c>
      <c r="J17" s="612" t="s">
        <v>515</v>
      </c>
      <c r="K17" s="612" t="s">
        <v>516</v>
      </c>
      <c r="L17" s="620">
        <v>1</v>
      </c>
      <c r="M17" s="623" t="s">
        <v>502</v>
      </c>
      <c r="N17" s="311">
        <v>1</v>
      </c>
      <c r="O17" s="312" t="s">
        <v>503</v>
      </c>
      <c r="P17" s="310"/>
      <c r="Q17" s="310"/>
    </row>
    <row r="18" spans="1:26" s="309" customFormat="1" ht="19.149999999999999" customHeight="1">
      <c r="A18" s="621"/>
      <c r="B18" s="613"/>
      <c r="C18" s="629"/>
      <c r="D18" s="630"/>
      <c r="E18" s="621"/>
      <c r="F18" s="624"/>
      <c r="G18" s="311">
        <v>2</v>
      </c>
      <c r="H18" s="312" t="s">
        <v>503</v>
      </c>
      <c r="I18" s="621"/>
      <c r="J18" s="613"/>
      <c r="K18" s="613"/>
      <c r="L18" s="621"/>
      <c r="M18" s="624"/>
      <c r="N18" s="311">
        <v>2</v>
      </c>
      <c r="O18" s="312" t="s">
        <v>503</v>
      </c>
      <c r="P18" s="310"/>
      <c r="Q18" s="310"/>
    </row>
    <row r="19" spans="1:26" s="309" customFormat="1" ht="19.149999999999999" customHeight="1">
      <c r="A19" s="621"/>
      <c r="B19" s="613"/>
      <c r="C19" s="629"/>
      <c r="D19" s="630"/>
      <c r="E19" s="621"/>
      <c r="F19" s="624"/>
      <c r="G19" s="311">
        <v>3</v>
      </c>
      <c r="H19" s="312" t="s">
        <v>503</v>
      </c>
      <c r="I19" s="621"/>
      <c r="J19" s="613"/>
      <c r="K19" s="613"/>
      <c r="L19" s="621"/>
      <c r="M19" s="624"/>
      <c r="N19" s="311">
        <v>3</v>
      </c>
      <c r="O19" s="312" t="s">
        <v>503</v>
      </c>
      <c r="P19" s="310"/>
      <c r="Q19" s="310"/>
    </row>
    <row r="20" spans="1:26" s="309" customFormat="1" ht="19.149999999999999" customHeight="1">
      <c r="A20" s="621"/>
      <c r="B20" s="613"/>
      <c r="C20" s="629"/>
      <c r="D20" s="630"/>
      <c r="E20" s="621"/>
      <c r="F20" s="624"/>
      <c r="G20" s="311">
        <v>4</v>
      </c>
      <c r="H20" s="312" t="s">
        <v>503</v>
      </c>
      <c r="I20" s="621"/>
      <c r="J20" s="613"/>
      <c r="K20" s="613"/>
      <c r="L20" s="621"/>
      <c r="M20" s="624"/>
      <c r="N20" s="311">
        <v>4</v>
      </c>
      <c r="O20" s="312" t="s">
        <v>503</v>
      </c>
      <c r="P20" s="310"/>
      <c r="Q20" s="310"/>
    </row>
    <row r="21" spans="1:26" s="309" customFormat="1" ht="19.149999999999999" customHeight="1">
      <c r="A21" s="621"/>
      <c r="B21" s="613"/>
      <c r="C21" s="629"/>
      <c r="D21" s="630"/>
      <c r="E21" s="621"/>
      <c r="F21" s="624"/>
      <c r="G21" s="311">
        <v>5</v>
      </c>
      <c r="H21" s="312" t="s">
        <v>503</v>
      </c>
      <c r="I21" s="621"/>
      <c r="J21" s="613"/>
      <c r="K21" s="613"/>
      <c r="L21" s="621"/>
      <c r="M21" s="624"/>
      <c r="N21" s="311">
        <v>5</v>
      </c>
      <c r="O21" s="312" t="s">
        <v>503</v>
      </c>
      <c r="P21" s="310"/>
      <c r="Q21" s="310"/>
    </row>
    <row r="22" spans="1:26" s="309" customFormat="1" ht="19.149999999999999" customHeight="1">
      <c r="A22" s="621"/>
      <c r="B22" s="613"/>
      <c r="C22" s="629"/>
      <c r="D22" s="630"/>
      <c r="E22" s="621"/>
      <c r="F22" s="624"/>
      <c r="G22" s="311">
        <v>6</v>
      </c>
      <c r="H22" s="312" t="s">
        <v>503</v>
      </c>
      <c r="I22" s="621"/>
      <c r="J22" s="613"/>
      <c r="K22" s="613"/>
      <c r="L22" s="621"/>
      <c r="M22" s="624"/>
      <c r="N22" s="311">
        <v>6</v>
      </c>
      <c r="O22" s="312" t="s">
        <v>503</v>
      </c>
      <c r="P22" s="310"/>
      <c r="Q22" s="310"/>
    </row>
    <row r="23" spans="1:26" s="309" customFormat="1" ht="19.149999999999999" customHeight="1">
      <c r="A23" s="621"/>
      <c r="B23" s="613"/>
      <c r="C23" s="629"/>
      <c r="D23" s="630"/>
      <c r="E23" s="621"/>
      <c r="F23" s="624"/>
      <c r="G23" s="311">
        <v>7</v>
      </c>
      <c r="H23" s="312" t="s">
        <v>503</v>
      </c>
      <c r="I23" s="621"/>
      <c r="J23" s="613"/>
      <c r="K23" s="613"/>
      <c r="L23" s="621"/>
      <c r="M23" s="624"/>
      <c r="N23" s="311">
        <v>7</v>
      </c>
      <c r="O23" s="312" t="s">
        <v>503</v>
      </c>
      <c r="P23" s="310"/>
      <c r="Q23" s="310"/>
    </row>
    <row r="24" spans="1:26" s="309" customFormat="1" ht="19.149999999999999" customHeight="1">
      <c r="A24" s="622"/>
      <c r="B24" s="614"/>
      <c r="C24" s="631"/>
      <c r="D24" s="632"/>
      <c r="E24" s="622"/>
      <c r="F24" s="624"/>
      <c r="G24" s="311">
        <v>8</v>
      </c>
      <c r="H24" s="312" t="s">
        <v>503</v>
      </c>
      <c r="I24" s="622"/>
      <c r="J24" s="614"/>
      <c r="K24" s="614"/>
      <c r="L24" s="622"/>
      <c r="M24" s="624"/>
      <c r="N24" s="311">
        <v>8</v>
      </c>
      <c r="O24" s="312" t="s">
        <v>503</v>
      </c>
      <c r="P24" s="310"/>
      <c r="Q24" s="310"/>
    </row>
    <row r="25" spans="1:26" ht="15.75" customHeight="1">
      <c r="A25" s="633"/>
      <c r="B25" s="635"/>
      <c r="C25" s="308"/>
      <c r="D25" s="308"/>
      <c r="E25" s="633"/>
      <c r="F25" s="633"/>
      <c r="G25" s="307"/>
      <c r="H25" s="306"/>
      <c r="I25" s="633"/>
      <c r="J25" s="635"/>
      <c r="K25" s="308"/>
      <c r="L25" s="633"/>
      <c r="M25" s="633"/>
      <c r="N25" s="307"/>
      <c r="O25" s="306"/>
      <c r="P25" s="295"/>
      <c r="Q25" s="295"/>
      <c r="R25" s="305"/>
      <c r="S25" s="305"/>
      <c r="T25" s="305"/>
      <c r="U25" s="305"/>
      <c r="V25" s="305"/>
      <c r="W25" s="305"/>
      <c r="X25" s="305"/>
      <c r="Y25" s="305"/>
      <c r="Z25" s="305"/>
    </row>
    <row r="26" spans="1:26" ht="15.75" customHeight="1">
      <c r="A26" s="595"/>
      <c r="B26" s="595"/>
      <c r="C26" s="287"/>
      <c r="D26" s="308"/>
      <c r="E26" s="595"/>
      <c r="F26" s="595"/>
      <c r="G26" s="307"/>
      <c r="H26" s="306"/>
      <c r="I26" s="595"/>
      <c r="J26" s="595"/>
      <c r="K26" s="308"/>
      <c r="L26" s="595"/>
      <c r="M26" s="595"/>
      <c r="N26" s="307"/>
      <c r="O26" s="306"/>
      <c r="P26" s="295"/>
      <c r="Q26" s="295"/>
      <c r="R26" s="305"/>
      <c r="S26" s="305"/>
      <c r="T26" s="305"/>
      <c r="U26" s="305"/>
      <c r="V26" s="305"/>
      <c r="W26" s="305"/>
      <c r="X26" s="305"/>
      <c r="Y26" s="305"/>
      <c r="Z26" s="305"/>
    </row>
    <row r="27" spans="1:26" ht="15.75" customHeight="1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295"/>
      <c r="L27" s="295"/>
      <c r="M27" s="295"/>
      <c r="N27" s="295"/>
      <c r="O27" s="295"/>
      <c r="P27" s="295"/>
      <c r="Q27" s="295"/>
    </row>
    <row r="28" spans="1:26" ht="15.75" customHeight="1">
      <c r="A28" s="634"/>
      <c r="B28" s="595"/>
      <c r="C28" s="595"/>
      <c r="D28" s="595"/>
      <c r="E28" s="595"/>
      <c r="F28" s="595"/>
      <c r="G28" s="595"/>
      <c r="H28" s="595"/>
      <c r="I28" s="595"/>
      <c r="J28" s="595"/>
      <c r="K28" s="595"/>
      <c r="L28" s="595"/>
      <c r="M28" s="595"/>
      <c r="N28" s="595"/>
      <c r="O28" s="595"/>
      <c r="P28" s="295"/>
      <c r="Q28" s="295"/>
    </row>
    <row r="29" spans="1:26" ht="15.75" customHeight="1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</row>
    <row r="30" spans="1:26" ht="15.75" customHeight="1">
      <c r="A30" s="282" t="s">
        <v>47</v>
      </c>
      <c r="B30" s="282"/>
      <c r="C30" s="282"/>
      <c r="D30" s="282"/>
      <c r="E30" s="282"/>
      <c r="F30" s="295"/>
      <c r="G30" s="295"/>
      <c r="H30" s="295"/>
      <c r="I30" s="295"/>
      <c r="J30" s="295"/>
      <c r="K30" s="295"/>
      <c r="L30" s="304"/>
      <c r="M30" s="304"/>
      <c r="N30" s="295"/>
      <c r="O30" s="295"/>
      <c r="P30" s="295"/>
      <c r="Q30" s="295"/>
    </row>
    <row r="31" spans="1:26" ht="12.75" customHeight="1">
      <c r="A31" s="287" t="s">
        <v>362</v>
      </c>
      <c r="B31" s="287"/>
      <c r="C31" s="287"/>
      <c r="D31" s="287"/>
      <c r="E31" s="287"/>
      <c r="F31" s="297"/>
      <c r="G31" s="297"/>
      <c r="H31" s="297"/>
      <c r="I31" s="297"/>
      <c r="J31" s="297"/>
      <c r="K31" s="297"/>
      <c r="L31" s="297" t="s">
        <v>49</v>
      </c>
      <c r="M31" s="297"/>
      <c r="N31" s="297"/>
      <c r="O31" s="297"/>
      <c r="P31" s="287"/>
      <c r="Q31" s="287"/>
    </row>
    <row r="32" spans="1:26" ht="15.75" customHeight="1">
      <c r="A32" s="300" t="str">
        <f>"Name: " &amp; 'support table'!$B$10</f>
        <v>Name: [REP_VENDOR]</v>
      </c>
      <c r="B32" s="300"/>
      <c r="C32" s="300"/>
      <c r="D32" s="300"/>
      <c r="E32" s="303"/>
      <c r="F32" s="297"/>
      <c r="G32" s="303"/>
      <c r="H32" s="303"/>
      <c r="I32" s="303"/>
      <c r="J32" s="297"/>
      <c r="K32" s="297"/>
      <c r="L32" s="300" t="str">
        <f>"Name: " &amp; 'support table'!$B$13</f>
        <v>Name: [REP_CUSTOMER]</v>
      </c>
      <c r="M32" s="300"/>
      <c r="N32" s="300"/>
      <c r="O32" s="299"/>
      <c r="P32" s="287"/>
      <c r="Q32" s="287"/>
    </row>
    <row r="33" spans="1:17" ht="16.5" customHeight="1">
      <c r="A33" s="302" t="s">
        <v>52</v>
      </c>
      <c r="B33" s="302"/>
      <c r="C33" s="302"/>
      <c r="D33" s="302"/>
      <c r="E33" s="297"/>
      <c r="F33" s="297"/>
      <c r="G33" s="297"/>
      <c r="H33" s="297"/>
      <c r="I33" s="297"/>
      <c r="J33" s="297"/>
      <c r="K33" s="297"/>
      <c r="L33" s="302" t="s">
        <v>52</v>
      </c>
      <c r="M33" s="302"/>
      <c r="N33" s="302"/>
      <c r="O33" s="297"/>
      <c r="P33" s="295"/>
      <c r="Q33" s="295"/>
    </row>
    <row r="34" spans="1:17" ht="60.75" customHeight="1">
      <c r="A34" s="284"/>
      <c r="B34" s="284"/>
      <c r="C34" s="284"/>
      <c r="D34" s="284"/>
      <c r="E34" s="301"/>
      <c r="F34" s="297"/>
      <c r="G34" s="301"/>
      <c r="H34" s="301"/>
      <c r="I34" s="301"/>
      <c r="J34" s="297"/>
      <c r="K34" s="297"/>
      <c r="L34" s="300"/>
      <c r="M34" s="300"/>
      <c r="N34" s="300"/>
      <c r="O34" s="299"/>
      <c r="P34" s="295"/>
      <c r="Q34" s="295"/>
    </row>
    <row r="35" spans="1:17" ht="16.5" customHeight="1">
      <c r="A35" s="298" t="s">
        <v>54</v>
      </c>
      <c r="B35" s="298"/>
      <c r="C35" s="298"/>
      <c r="D35" s="298"/>
      <c r="E35" s="297"/>
      <c r="F35" s="297"/>
      <c r="G35" s="297"/>
      <c r="H35" s="297"/>
      <c r="I35" s="297"/>
      <c r="J35" s="297"/>
      <c r="K35" s="297"/>
      <c r="L35" s="296" t="s">
        <v>54</v>
      </c>
      <c r="M35" s="296"/>
      <c r="N35" s="296"/>
      <c r="O35" s="296"/>
      <c r="P35" s="295"/>
      <c r="Q35" s="295"/>
    </row>
    <row r="36" spans="1:17" ht="15.75" customHeight="1">
      <c r="A36" s="295"/>
      <c r="B36" s="295"/>
      <c r="C36" s="295"/>
      <c r="D36" s="295"/>
      <c r="E36" s="295"/>
      <c r="F36" s="295"/>
      <c r="G36" s="295"/>
      <c r="H36" s="295"/>
      <c r="I36" s="295"/>
      <c r="J36" s="295"/>
      <c r="K36" s="295"/>
      <c r="L36" s="295"/>
      <c r="M36" s="295"/>
      <c r="N36" s="295"/>
      <c r="O36" s="295"/>
      <c r="P36" s="295"/>
      <c r="Q36" s="295"/>
    </row>
    <row r="37" spans="1:17" ht="15.75" customHeight="1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295"/>
      <c r="L37" s="295"/>
      <c r="M37" s="295"/>
      <c r="N37" s="295"/>
      <c r="O37" s="295"/>
      <c r="P37" s="295"/>
      <c r="Q37" s="295"/>
    </row>
    <row r="38" spans="1:17" ht="15.75" customHeight="1">
      <c r="A38" s="295"/>
      <c r="B38" s="295"/>
      <c r="C38" s="295"/>
      <c r="D38" s="295"/>
      <c r="E38" s="295"/>
      <c r="F38" s="295"/>
      <c r="G38" s="295"/>
      <c r="H38" s="295"/>
      <c r="I38" s="295"/>
      <c r="J38" s="295"/>
      <c r="K38" s="295"/>
      <c r="L38" s="295"/>
      <c r="M38" s="295"/>
      <c r="N38" s="295"/>
      <c r="O38" s="295"/>
      <c r="P38" s="295"/>
      <c r="Q38" s="295"/>
    </row>
    <row r="39" spans="1:17" ht="15.75" customHeight="1">
      <c r="A39" s="295"/>
      <c r="B39" s="295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  <c r="N39" s="295"/>
      <c r="O39" s="295"/>
      <c r="P39" s="295"/>
      <c r="Q39" s="295"/>
    </row>
    <row r="40" spans="1:17" ht="15.75" customHeight="1">
      <c r="A40" s="295"/>
      <c r="B40" s="295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  <c r="N40" s="295"/>
      <c r="O40" s="295"/>
      <c r="P40" s="295"/>
      <c r="Q40" s="295"/>
    </row>
    <row r="41" spans="1:17" ht="15.75" customHeight="1">
      <c r="A41" s="295"/>
      <c r="B41" s="295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  <c r="N41" s="295"/>
      <c r="O41" s="295"/>
      <c r="P41" s="295"/>
      <c r="Q41" s="295"/>
    </row>
    <row r="42" spans="1:17" ht="15.75" customHeight="1">
      <c r="A42" s="295"/>
      <c r="B42" s="295"/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</row>
    <row r="43" spans="1:17" ht="15.75" customHeight="1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</row>
    <row r="44" spans="1:17" ht="15.75" customHeight="1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</row>
    <row r="45" spans="1:17" ht="15.75" customHeight="1">
      <c r="A45" s="295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</row>
    <row r="46" spans="1:17" ht="15.75" customHeight="1">
      <c r="A46" s="295"/>
      <c r="B46" s="295"/>
      <c r="C46" s="295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</row>
    <row r="47" spans="1:17" ht="15.75" customHeight="1">
      <c r="A47" s="295"/>
      <c r="B47" s="295"/>
      <c r="C47" s="295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</row>
    <row r="48" spans="1:17" ht="15.75" customHeight="1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</row>
    <row r="49" spans="1:17" ht="15.75" customHeight="1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</row>
    <row r="50" spans="1:17" ht="15.75" customHeight="1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</row>
    <row r="51" spans="1:17" ht="15.75" customHeight="1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</row>
    <row r="52" spans="1:17" ht="15.75" customHeight="1">
      <c r="A52" s="295"/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</row>
    <row r="53" spans="1:17" ht="15.75" customHeight="1">
      <c r="A53" s="295"/>
      <c r="B53" s="295"/>
      <c r="C53" s="295"/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5"/>
      <c r="Q53" s="295"/>
    </row>
    <row r="54" spans="1:17" ht="15.75" customHeight="1">
      <c r="A54" s="295"/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95"/>
      <c r="Q54" s="295"/>
    </row>
    <row r="55" spans="1:17" ht="15.75" customHeight="1">
      <c r="A55" s="295"/>
      <c r="B55" s="295"/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5"/>
      <c r="P55" s="295"/>
      <c r="Q55" s="295"/>
    </row>
    <row r="56" spans="1:17" ht="15.75" customHeight="1">
      <c r="A56" s="295"/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</row>
    <row r="57" spans="1:17" ht="15.75" customHeight="1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</row>
    <row r="58" spans="1:17" ht="15.75" customHeight="1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</row>
    <row r="59" spans="1:17" ht="15.75" customHeight="1">
      <c r="A59" s="295"/>
      <c r="B59" s="295"/>
      <c r="C59" s="295"/>
      <c r="D59" s="295"/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5"/>
      <c r="P59" s="295"/>
      <c r="Q59" s="295"/>
    </row>
    <row r="60" spans="1:17" ht="15.75" customHeight="1">
      <c r="A60" s="295"/>
      <c r="B60" s="295"/>
      <c r="C60" s="295"/>
      <c r="D60" s="295"/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</row>
    <row r="61" spans="1:17" ht="15.75" customHeight="1">
      <c r="A61" s="295"/>
      <c r="B61" s="295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</row>
    <row r="62" spans="1:17" ht="15.75" customHeight="1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/>
    </row>
    <row r="63" spans="1:17" ht="15.75" customHeight="1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</row>
    <row r="64" spans="1:17" ht="15.75" customHeight="1">
      <c r="A64" s="295"/>
      <c r="B64" s="295"/>
      <c r="C64" s="295"/>
      <c r="D64" s="295"/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/>
    </row>
    <row r="65" spans="1:17" ht="15.75" customHeight="1">
      <c r="A65" s="295"/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</row>
    <row r="66" spans="1:17" ht="15.75" customHeight="1">
      <c r="A66" s="295"/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</row>
    <row r="67" spans="1:17" ht="15.75" customHeight="1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</row>
    <row r="68" spans="1:17" ht="15.75" customHeight="1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</row>
    <row r="69" spans="1:17" ht="15.75" customHeight="1">
      <c r="A69" s="295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</row>
    <row r="70" spans="1:17" ht="15.75" customHeight="1">
      <c r="A70" s="295"/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</row>
    <row r="71" spans="1:17" ht="15.75" customHeight="1">
      <c r="A71" s="295"/>
      <c r="B71" s="295"/>
      <c r="C71" s="295"/>
      <c r="D71" s="295"/>
      <c r="E71" s="295"/>
      <c r="F71" s="295"/>
      <c r="G71" s="295"/>
      <c r="H71" s="295"/>
      <c r="I71" s="295"/>
      <c r="J71" s="295"/>
      <c r="K71" s="295"/>
      <c r="L71" s="295"/>
      <c r="M71" s="295"/>
      <c r="N71" s="295"/>
      <c r="O71" s="295"/>
      <c r="P71" s="295"/>
      <c r="Q71" s="295"/>
    </row>
    <row r="72" spans="1:17" ht="15.75" customHeight="1">
      <c r="A72" s="295"/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5"/>
      <c r="Q72" s="295"/>
    </row>
    <row r="73" spans="1:17" ht="15.75" customHeight="1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</row>
    <row r="74" spans="1:17" ht="15.75" customHeight="1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5"/>
      <c r="Q74" s="295"/>
    </row>
    <row r="75" spans="1:17" ht="15.75" customHeight="1">
      <c r="A75" s="295"/>
      <c r="B75" s="295"/>
      <c r="C75" s="295"/>
      <c r="D75" s="295"/>
      <c r="E75" s="295"/>
      <c r="F75" s="295"/>
      <c r="G75" s="295"/>
      <c r="H75" s="295"/>
      <c r="I75" s="295"/>
      <c r="J75" s="295"/>
      <c r="K75" s="295"/>
      <c r="L75" s="295"/>
      <c r="M75" s="295"/>
      <c r="N75" s="295"/>
      <c r="O75" s="295"/>
      <c r="P75" s="295"/>
      <c r="Q75" s="295"/>
    </row>
    <row r="76" spans="1:17" ht="15.75" customHeight="1">
      <c r="A76" s="295"/>
      <c r="B76" s="295"/>
      <c r="C76" s="295"/>
      <c r="D76" s="295"/>
      <c r="E76" s="295"/>
      <c r="F76" s="295"/>
      <c r="G76" s="295"/>
      <c r="H76" s="295"/>
      <c r="I76" s="295"/>
      <c r="J76" s="295"/>
      <c r="K76" s="295"/>
      <c r="L76" s="295"/>
      <c r="M76" s="295"/>
      <c r="N76" s="295"/>
      <c r="O76" s="295"/>
      <c r="P76" s="295"/>
      <c r="Q76" s="295"/>
    </row>
    <row r="77" spans="1:17" ht="15.75" customHeight="1">
      <c r="A77" s="295"/>
      <c r="B77" s="295"/>
      <c r="C77" s="295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5"/>
      <c r="Q77" s="295"/>
    </row>
    <row r="78" spans="1:17" ht="15.75" customHeight="1">
      <c r="A78" s="295"/>
      <c r="B78" s="295"/>
      <c r="C78" s="295"/>
      <c r="D78" s="295"/>
      <c r="E78" s="295"/>
      <c r="F78" s="295"/>
      <c r="G78" s="295"/>
      <c r="H78" s="295"/>
      <c r="I78" s="295"/>
      <c r="J78" s="295"/>
      <c r="K78" s="295"/>
      <c r="L78" s="295"/>
      <c r="M78" s="295"/>
      <c r="N78" s="295"/>
      <c r="O78" s="295"/>
      <c r="P78" s="295"/>
      <c r="Q78" s="295"/>
    </row>
    <row r="79" spans="1:17" ht="15.75" customHeight="1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</row>
    <row r="80" spans="1:17" ht="15.75" customHeight="1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5"/>
      <c r="Q80" s="295"/>
    </row>
    <row r="81" spans="1:17" ht="15.75" customHeight="1">
      <c r="A81" s="295"/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295"/>
      <c r="M81" s="295"/>
      <c r="N81" s="295"/>
      <c r="O81" s="295"/>
      <c r="P81" s="295"/>
      <c r="Q81" s="295"/>
    </row>
    <row r="82" spans="1:17" ht="15.75" customHeight="1">
      <c r="A82" s="295"/>
      <c r="B82" s="295"/>
      <c r="C82" s="295"/>
      <c r="D82" s="295"/>
      <c r="E82" s="295"/>
      <c r="F82" s="295"/>
      <c r="G82" s="295"/>
      <c r="H82" s="295"/>
      <c r="I82" s="295"/>
      <c r="J82" s="295"/>
      <c r="K82" s="295"/>
      <c r="L82" s="295"/>
      <c r="M82" s="295"/>
      <c r="N82" s="295"/>
      <c r="O82" s="295"/>
      <c r="P82" s="295"/>
      <c r="Q82" s="295"/>
    </row>
    <row r="83" spans="1:17" ht="15.75" customHeight="1">
      <c r="A83" s="295"/>
      <c r="B83" s="295"/>
      <c r="C83" s="295"/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5"/>
      <c r="Q83" s="295"/>
    </row>
    <row r="84" spans="1:17" ht="15.75" customHeight="1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5"/>
      <c r="Q84" s="295"/>
    </row>
    <row r="85" spans="1:17" ht="15.75" customHeight="1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</row>
    <row r="86" spans="1:17" ht="15.75" customHeight="1">
      <c r="A86" s="295"/>
      <c r="B86" s="295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5"/>
      <c r="Q86" s="295"/>
    </row>
    <row r="87" spans="1:17" ht="15.75" customHeight="1">
      <c r="A87" s="295"/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</row>
    <row r="88" spans="1:17" ht="15.75" customHeight="1">
      <c r="A88" s="295"/>
      <c r="B88" s="295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295"/>
    </row>
    <row r="89" spans="1:17" ht="15.75" customHeight="1">
      <c r="A89" s="295"/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5"/>
      <c r="Q89" s="295"/>
    </row>
    <row r="90" spans="1:17" ht="15.75" customHeight="1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</row>
    <row r="91" spans="1:17" ht="15.75" customHeight="1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5"/>
      <c r="Q91" s="295"/>
    </row>
    <row r="92" spans="1:17" ht="15.75" customHeight="1">
      <c r="A92" s="295"/>
      <c r="B92" s="295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95"/>
      <c r="P92" s="295"/>
      <c r="Q92" s="295"/>
    </row>
    <row r="93" spans="1:17" ht="15.75" customHeight="1">
      <c r="A93" s="295"/>
      <c r="B93" s="295"/>
      <c r="C93" s="295"/>
      <c r="D93" s="295"/>
      <c r="E93" s="295"/>
      <c r="F93" s="295"/>
      <c r="G93" s="295"/>
      <c r="H93" s="295"/>
      <c r="I93" s="295"/>
      <c r="J93" s="295"/>
      <c r="K93" s="295"/>
      <c r="L93" s="295"/>
      <c r="M93" s="295"/>
      <c r="N93" s="295"/>
      <c r="O93" s="295"/>
      <c r="P93" s="295"/>
      <c r="Q93" s="295"/>
    </row>
    <row r="94" spans="1:17" ht="15.75" customHeight="1">
      <c r="A94" s="295"/>
      <c r="B94" s="295"/>
      <c r="C94" s="295"/>
      <c r="D94" s="295"/>
      <c r="E94" s="295"/>
      <c r="F94" s="295"/>
      <c r="G94" s="295"/>
      <c r="H94" s="295"/>
      <c r="I94" s="295"/>
      <c r="J94" s="295"/>
      <c r="K94" s="295"/>
      <c r="L94" s="295"/>
      <c r="M94" s="295"/>
      <c r="N94" s="295"/>
      <c r="O94" s="295"/>
      <c r="P94" s="295"/>
      <c r="Q94" s="295"/>
    </row>
    <row r="95" spans="1:17" ht="15.75" customHeight="1">
      <c r="A95" s="295"/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/>
      <c r="P95" s="295"/>
      <c r="Q95" s="295"/>
    </row>
    <row r="96" spans="1:17" ht="15.75" customHeight="1">
      <c r="A96" s="295"/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5"/>
      <c r="P96" s="295"/>
      <c r="Q96" s="295"/>
    </row>
    <row r="97" spans="1:17" ht="15.75" customHeight="1">
      <c r="A97" s="295"/>
      <c r="B97" s="295"/>
      <c r="C97" s="295"/>
      <c r="D97" s="295"/>
      <c r="E97" s="295"/>
      <c r="F97" s="295"/>
      <c r="G97" s="295"/>
      <c r="H97" s="295"/>
      <c r="I97" s="295"/>
      <c r="J97" s="295"/>
      <c r="K97" s="295"/>
      <c r="L97" s="295"/>
      <c r="M97" s="295"/>
      <c r="N97" s="295"/>
      <c r="O97" s="295"/>
      <c r="P97" s="295"/>
      <c r="Q97" s="295"/>
    </row>
    <row r="98" spans="1:17" ht="15.75" customHeight="1">
      <c r="A98" s="295"/>
      <c r="B98" s="295"/>
      <c r="C98" s="295"/>
      <c r="D98" s="295"/>
      <c r="E98" s="295"/>
      <c r="F98" s="295"/>
      <c r="G98" s="295"/>
      <c r="H98" s="295"/>
      <c r="I98" s="295"/>
      <c r="J98" s="295"/>
      <c r="K98" s="295"/>
      <c r="L98" s="295"/>
      <c r="M98" s="295"/>
      <c r="N98" s="295"/>
      <c r="O98" s="295"/>
      <c r="P98" s="295"/>
      <c r="Q98" s="295"/>
    </row>
    <row r="99" spans="1:17" ht="15.75" customHeight="1">
      <c r="A99" s="295"/>
      <c r="B99" s="295"/>
      <c r="C99" s="295"/>
      <c r="D99" s="295"/>
      <c r="E99" s="295"/>
      <c r="F99" s="295"/>
      <c r="G99" s="295"/>
      <c r="H99" s="295"/>
      <c r="I99" s="295"/>
      <c r="J99" s="295"/>
      <c r="K99" s="295"/>
      <c r="L99" s="295"/>
      <c r="M99" s="295"/>
      <c r="N99" s="295"/>
      <c r="O99" s="295"/>
      <c r="P99" s="295"/>
      <c r="Q99" s="295"/>
    </row>
    <row r="100" spans="1:17" ht="15.75" customHeight="1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  <c r="P100" s="295"/>
      <c r="Q100" s="295"/>
    </row>
    <row r="101" spans="1:17" ht="15.75" customHeight="1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</row>
    <row r="102" spans="1:17" ht="15.75" customHeight="1">
      <c r="A102" s="295"/>
      <c r="B102" s="295"/>
      <c r="C102" s="295"/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</row>
    <row r="103" spans="1:17" ht="15.75" customHeight="1">
      <c r="A103" s="295"/>
      <c r="B103" s="295"/>
      <c r="C103" s="295"/>
      <c r="D103" s="295"/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</row>
    <row r="104" spans="1:17" ht="15.75" customHeight="1">
      <c r="A104" s="295"/>
      <c r="B104" s="295"/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</row>
    <row r="105" spans="1:17" ht="15.75" customHeight="1">
      <c r="A105" s="295"/>
      <c r="B105" s="295"/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</row>
    <row r="106" spans="1:17" ht="15.75" customHeight="1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</row>
    <row r="107" spans="1:17" ht="15.75" customHeight="1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</row>
    <row r="108" spans="1:17" ht="15.75" customHeight="1">
      <c r="A108" s="295"/>
      <c r="B108" s="295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</row>
    <row r="109" spans="1:17" ht="15.75" customHeight="1">
      <c r="A109" s="295"/>
      <c r="B109" s="295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</row>
    <row r="110" spans="1:17" ht="15.75" customHeight="1">
      <c r="A110" s="295"/>
      <c r="B110" s="295"/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</row>
    <row r="111" spans="1:17" ht="15.75" customHeight="1">
      <c r="A111" s="295"/>
      <c r="B111" s="295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</row>
    <row r="112" spans="1:17" ht="15.75" customHeight="1">
      <c r="A112" s="295"/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</row>
    <row r="113" spans="1:17" ht="15.75" customHeight="1">
      <c r="A113" s="295"/>
      <c r="B113" s="295"/>
      <c r="C113" s="295"/>
      <c r="D113" s="295"/>
      <c r="E113" s="295"/>
      <c r="F113" s="295"/>
      <c r="G113" s="295"/>
      <c r="H113" s="295"/>
      <c r="I113" s="295"/>
      <c r="J113" s="295"/>
      <c r="K113" s="295"/>
      <c r="L113" s="295"/>
      <c r="M113" s="295"/>
      <c r="N113" s="295"/>
      <c r="O113" s="295"/>
      <c r="P113" s="295"/>
      <c r="Q113" s="295"/>
    </row>
    <row r="114" spans="1:17" ht="15.75" customHeight="1">
      <c r="A114" s="295"/>
      <c r="B114" s="295"/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</row>
    <row r="115" spans="1:17" ht="15.75" customHeight="1">
      <c r="A115" s="295"/>
      <c r="B115" s="295"/>
      <c r="C115" s="295"/>
      <c r="D115" s="295"/>
      <c r="E115" s="295"/>
      <c r="F115" s="295"/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</row>
    <row r="116" spans="1:17" ht="15.75" customHeight="1">
      <c r="A116" s="295"/>
      <c r="B116" s="295"/>
      <c r="C116" s="295"/>
      <c r="D116" s="295"/>
      <c r="E116" s="295"/>
      <c r="F116" s="295"/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</row>
    <row r="117" spans="1:17" ht="15.75" customHeight="1">
      <c r="A117" s="295"/>
      <c r="B117" s="295"/>
      <c r="C117" s="295"/>
      <c r="D117" s="295"/>
      <c r="E117" s="295"/>
      <c r="F117" s="295"/>
      <c r="G117" s="295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</row>
    <row r="118" spans="1:17" ht="15.75" customHeight="1">
      <c r="A118" s="295"/>
      <c r="B118" s="295"/>
      <c r="C118" s="295"/>
      <c r="D118" s="295"/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</row>
    <row r="119" spans="1:17" ht="15.75" customHeight="1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</row>
    <row r="120" spans="1:17" ht="15.75" customHeight="1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</row>
    <row r="121" spans="1:17" ht="15.75" customHeight="1">
      <c r="A121" s="295"/>
      <c r="B121" s="295"/>
      <c r="C121" s="295"/>
      <c r="D121" s="295"/>
      <c r="E121" s="295"/>
      <c r="F121" s="295"/>
      <c r="G121" s="295"/>
      <c r="H121" s="295"/>
      <c r="I121" s="295"/>
      <c r="J121" s="295"/>
      <c r="K121" s="295"/>
      <c r="L121" s="295"/>
      <c r="M121" s="295"/>
      <c r="N121" s="295"/>
      <c r="O121" s="295"/>
      <c r="P121" s="295"/>
      <c r="Q121" s="295"/>
    </row>
    <row r="122" spans="1:17" ht="15.75" customHeight="1">
      <c r="A122" s="295"/>
      <c r="B122" s="295"/>
      <c r="C122" s="295"/>
      <c r="D122" s="295"/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</row>
    <row r="123" spans="1:17" ht="15.75" customHeight="1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</row>
    <row r="124" spans="1:17" ht="15.75" customHeight="1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</row>
    <row r="125" spans="1:17" ht="15.75" customHeight="1">
      <c r="A125" s="295"/>
      <c r="B125" s="295"/>
      <c r="C125" s="295"/>
      <c r="D125" s="295"/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</row>
    <row r="126" spans="1:17" ht="15.75" customHeight="1">
      <c r="A126" s="295"/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</row>
    <row r="127" spans="1:17" ht="15.75" customHeight="1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</row>
    <row r="128" spans="1:17" ht="15.75" customHeight="1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</row>
    <row r="129" spans="1:17" ht="15.75" customHeight="1">
      <c r="A129" s="295"/>
      <c r="B129" s="295"/>
      <c r="C129" s="295"/>
      <c r="D129" s="295"/>
      <c r="E129" s="295"/>
      <c r="F129" s="295"/>
      <c r="G129" s="295"/>
      <c r="H129" s="295"/>
      <c r="I129" s="295"/>
      <c r="J129" s="295"/>
      <c r="K129" s="295"/>
      <c r="L129" s="295"/>
      <c r="M129" s="295"/>
      <c r="N129" s="295"/>
      <c r="O129" s="295"/>
      <c r="P129" s="295"/>
      <c r="Q129" s="295"/>
    </row>
    <row r="130" spans="1:17" ht="15.75" customHeight="1">
      <c r="A130" s="295"/>
      <c r="B130" s="295"/>
      <c r="C130" s="295"/>
      <c r="D130" s="295"/>
      <c r="E130" s="295"/>
      <c r="F130" s="295"/>
      <c r="G130" s="295"/>
      <c r="H130" s="295"/>
      <c r="I130" s="295"/>
      <c r="J130" s="295"/>
      <c r="K130" s="295"/>
      <c r="L130" s="295"/>
      <c r="M130" s="295"/>
      <c r="N130" s="295"/>
      <c r="O130" s="295"/>
      <c r="P130" s="295"/>
      <c r="Q130" s="295"/>
    </row>
    <row r="131" spans="1:17" ht="15.75" customHeight="1">
      <c r="A131" s="295"/>
      <c r="B131" s="295"/>
      <c r="C131" s="295"/>
      <c r="D131" s="295"/>
      <c r="E131" s="295"/>
      <c r="F131" s="295"/>
      <c r="G131" s="295"/>
      <c r="H131" s="295"/>
      <c r="I131" s="295"/>
      <c r="J131" s="295"/>
      <c r="K131" s="295"/>
      <c r="L131" s="295"/>
      <c r="M131" s="295"/>
      <c r="N131" s="295"/>
      <c r="O131" s="295"/>
      <c r="P131" s="295"/>
      <c r="Q131" s="295"/>
    </row>
    <row r="132" spans="1:17" ht="15.75" customHeight="1">
      <c r="A132" s="295"/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</row>
    <row r="133" spans="1:17" ht="15.75" customHeight="1">
      <c r="A133" s="295"/>
      <c r="B133" s="295"/>
      <c r="C133" s="295"/>
      <c r="D133" s="295"/>
      <c r="E133" s="295"/>
      <c r="F133" s="295"/>
      <c r="G133" s="295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</row>
    <row r="134" spans="1:17" ht="15.75" customHeight="1">
      <c r="A134" s="295"/>
      <c r="B134" s="295"/>
      <c r="C134" s="295"/>
      <c r="D134" s="295"/>
      <c r="E134" s="295"/>
      <c r="F134" s="295"/>
      <c r="G134" s="295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</row>
    <row r="135" spans="1:17" ht="15.75" customHeight="1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</row>
    <row r="136" spans="1:17" ht="15.75" customHeight="1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295"/>
      <c r="P136" s="295"/>
      <c r="Q136" s="295"/>
    </row>
    <row r="137" spans="1:17" ht="15.75" customHeight="1">
      <c r="A137" s="295"/>
      <c r="B137" s="295"/>
      <c r="C137" s="295"/>
      <c r="D137" s="295"/>
      <c r="E137" s="295"/>
      <c r="F137" s="295"/>
      <c r="G137" s="295"/>
      <c r="H137" s="295"/>
      <c r="I137" s="295"/>
      <c r="J137" s="295"/>
      <c r="K137" s="295"/>
      <c r="L137" s="295"/>
      <c r="M137" s="295"/>
      <c r="N137" s="295"/>
      <c r="O137" s="295"/>
      <c r="P137" s="295"/>
      <c r="Q137" s="295"/>
    </row>
    <row r="138" spans="1:17" ht="15.75" customHeight="1">
      <c r="A138" s="295"/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</row>
    <row r="139" spans="1:17" ht="15.75" customHeight="1">
      <c r="A139" s="295"/>
      <c r="B139" s="295"/>
      <c r="C139" s="295"/>
      <c r="D139" s="295"/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</row>
    <row r="140" spans="1:17" ht="15.75" customHeight="1">
      <c r="A140" s="295"/>
      <c r="B140" s="295"/>
      <c r="C140" s="295"/>
      <c r="D140" s="295"/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</row>
    <row r="141" spans="1:17" ht="15.75" customHeight="1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</row>
    <row r="142" spans="1:17" ht="15.75" customHeight="1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</row>
    <row r="143" spans="1:17" ht="15.75" customHeight="1">
      <c r="A143" s="295"/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</row>
    <row r="144" spans="1:17" ht="15.75" customHeight="1">
      <c r="A144" s="295"/>
      <c r="B144" s="295"/>
      <c r="C144" s="295"/>
      <c r="D144" s="295"/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</row>
    <row r="145" spans="1:17" ht="15.75" customHeight="1">
      <c r="A145" s="295"/>
      <c r="B145" s="295"/>
      <c r="C145" s="295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</row>
    <row r="146" spans="1:17" ht="15.75" customHeight="1">
      <c r="A146" s="295"/>
      <c r="B146" s="295"/>
      <c r="C146" s="295"/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5"/>
      <c r="P146" s="295"/>
      <c r="Q146" s="295"/>
    </row>
    <row r="147" spans="1:17" ht="15.75" customHeight="1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295"/>
      <c r="P147" s="295"/>
      <c r="Q147" s="295"/>
    </row>
    <row r="148" spans="1:17" ht="15.75" customHeight="1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</row>
    <row r="149" spans="1:17" ht="15.75" customHeight="1">
      <c r="A149" s="295"/>
      <c r="B149" s="295"/>
      <c r="C149" s="295"/>
      <c r="D149" s="295"/>
      <c r="E149" s="295"/>
      <c r="F149" s="295"/>
      <c r="G149" s="295"/>
      <c r="H149" s="295"/>
      <c r="I149" s="295"/>
      <c r="J149" s="295"/>
      <c r="K149" s="295"/>
      <c r="L149" s="295"/>
      <c r="M149" s="295"/>
      <c r="N149" s="295"/>
      <c r="O149" s="295"/>
      <c r="P149" s="295"/>
      <c r="Q149" s="295"/>
    </row>
    <row r="150" spans="1:17" ht="15.75" customHeight="1">
      <c r="A150" s="295"/>
      <c r="B150" s="295"/>
      <c r="C150" s="295"/>
      <c r="D150" s="295"/>
      <c r="E150" s="295"/>
      <c r="F150" s="295"/>
      <c r="G150" s="295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</row>
    <row r="151" spans="1:17" ht="15.75" customHeight="1">
      <c r="A151" s="295"/>
      <c r="B151" s="295"/>
      <c r="C151" s="295"/>
      <c r="D151" s="295"/>
      <c r="E151" s="295"/>
      <c r="F151" s="295"/>
      <c r="G151" s="295"/>
      <c r="H151" s="295"/>
      <c r="I151" s="295"/>
      <c r="J151" s="295"/>
      <c r="K151" s="295"/>
      <c r="L151" s="295"/>
      <c r="M151" s="295"/>
      <c r="N151" s="295"/>
      <c r="O151" s="295"/>
      <c r="P151" s="295"/>
      <c r="Q151" s="295"/>
    </row>
    <row r="152" spans="1:17" ht="15.75" customHeight="1">
      <c r="A152" s="295"/>
      <c r="B152" s="295"/>
      <c r="C152" s="295"/>
      <c r="D152" s="295"/>
      <c r="E152" s="295"/>
      <c r="F152" s="295"/>
      <c r="G152" s="295"/>
      <c r="H152" s="295"/>
      <c r="I152" s="295"/>
      <c r="J152" s="295"/>
      <c r="K152" s="295"/>
      <c r="L152" s="295"/>
      <c r="M152" s="295"/>
      <c r="N152" s="295"/>
      <c r="O152" s="295"/>
      <c r="P152" s="295"/>
      <c r="Q152" s="295"/>
    </row>
    <row r="153" spans="1:17" ht="15.75" customHeight="1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295"/>
      <c r="P153" s="295"/>
      <c r="Q153" s="295"/>
    </row>
    <row r="154" spans="1:17" ht="15.75" customHeight="1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295"/>
      <c r="P154" s="295"/>
      <c r="Q154" s="295"/>
    </row>
    <row r="155" spans="1:17" ht="15.75" customHeight="1">
      <c r="A155" s="295"/>
      <c r="B155" s="295"/>
      <c r="C155" s="295"/>
      <c r="D155" s="295"/>
      <c r="E155" s="295"/>
      <c r="F155" s="295"/>
      <c r="G155" s="295"/>
      <c r="H155" s="295"/>
      <c r="I155" s="295"/>
      <c r="J155" s="295"/>
      <c r="K155" s="295"/>
      <c r="L155" s="295"/>
      <c r="M155" s="295"/>
      <c r="N155" s="295"/>
      <c r="O155" s="295"/>
      <c r="P155" s="295"/>
      <c r="Q155" s="295"/>
    </row>
    <row r="156" spans="1:17" ht="15.75" customHeight="1">
      <c r="A156" s="295"/>
      <c r="B156" s="295"/>
      <c r="C156" s="295"/>
      <c r="D156" s="295"/>
      <c r="E156" s="295"/>
      <c r="F156" s="295"/>
      <c r="G156" s="295"/>
      <c r="H156" s="295"/>
      <c r="I156" s="295"/>
      <c r="J156" s="295"/>
      <c r="K156" s="295"/>
      <c r="L156" s="295"/>
      <c r="M156" s="295"/>
      <c r="N156" s="295"/>
      <c r="O156" s="295"/>
      <c r="P156" s="295"/>
      <c r="Q156" s="295"/>
    </row>
    <row r="157" spans="1:17" ht="15.75" customHeight="1">
      <c r="A157" s="295"/>
      <c r="B157" s="295"/>
      <c r="C157" s="295"/>
      <c r="D157" s="295"/>
      <c r="E157" s="295"/>
      <c r="F157" s="295"/>
      <c r="G157" s="295"/>
      <c r="H157" s="295"/>
      <c r="I157" s="295"/>
      <c r="J157" s="295"/>
      <c r="K157" s="295"/>
      <c r="L157" s="295"/>
      <c r="M157" s="295"/>
      <c r="N157" s="295"/>
      <c r="O157" s="295"/>
      <c r="P157" s="295"/>
      <c r="Q157" s="295"/>
    </row>
    <row r="158" spans="1:17" ht="15.75" customHeight="1">
      <c r="A158" s="295"/>
      <c r="B158" s="295"/>
      <c r="C158" s="295"/>
      <c r="D158" s="295"/>
      <c r="E158" s="295"/>
      <c r="F158" s="295"/>
      <c r="G158" s="295"/>
      <c r="H158" s="295"/>
      <c r="I158" s="295"/>
      <c r="J158" s="295"/>
      <c r="K158" s="295"/>
      <c r="L158" s="295"/>
      <c r="M158" s="295"/>
      <c r="N158" s="295"/>
      <c r="O158" s="295"/>
      <c r="P158" s="295"/>
      <c r="Q158" s="295"/>
    </row>
    <row r="159" spans="1:17" ht="15.75" customHeight="1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</row>
    <row r="160" spans="1:17" ht="15.75" customHeight="1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295"/>
      <c r="P160" s="295"/>
      <c r="Q160" s="295"/>
    </row>
    <row r="161" spans="1:17" ht="15.75" customHeight="1">
      <c r="A161" s="295"/>
      <c r="B161" s="295"/>
      <c r="C161" s="295"/>
      <c r="D161" s="295"/>
      <c r="E161" s="295"/>
      <c r="F161" s="295"/>
      <c r="G161" s="295"/>
      <c r="H161" s="295"/>
      <c r="I161" s="295"/>
      <c r="J161" s="295"/>
      <c r="K161" s="295"/>
      <c r="L161" s="295"/>
      <c r="M161" s="295"/>
      <c r="N161" s="295"/>
      <c r="O161" s="295"/>
      <c r="P161" s="295"/>
      <c r="Q161" s="295"/>
    </row>
    <row r="162" spans="1:17" ht="15.75" customHeight="1">
      <c r="A162" s="295"/>
      <c r="B162" s="295"/>
      <c r="C162" s="295"/>
      <c r="D162" s="295"/>
      <c r="E162" s="295"/>
      <c r="F162" s="295"/>
      <c r="G162" s="295"/>
      <c r="H162" s="295"/>
      <c r="I162" s="295"/>
      <c r="J162" s="295"/>
      <c r="K162" s="295"/>
      <c r="L162" s="295"/>
      <c r="M162" s="295"/>
      <c r="N162" s="295"/>
      <c r="O162" s="295"/>
      <c r="P162" s="295"/>
      <c r="Q162" s="295"/>
    </row>
    <row r="163" spans="1:17" ht="15.75" customHeight="1">
      <c r="A163" s="295"/>
      <c r="B163" s="295"/>
      <c r="C163" s="295"/>
      <c r="D163" s="295"/>
      <c r="E163" s="295"/>
      <c r="F163" s="295"/>
      <c r="G163" s="295"/>
      <c r="H163" s="295"/>
      <c r="I163" s="295"/>
      <c r="J163" s="295"/>
      <c r="K163" s="295"/>
      <c r="L163" s="295"/>
      <c r="M163" s="295"/>
      <c r="N163" s="295"/>
      <c r="O163" s="295"/>
      <c r="P163" s="295"/>
      <c r="Q163" s="295"/>
    </row>
    <row r="164" spans="1:17" ht="15.75" customHeight="1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295"/>
      <c r="P164" s="295"/>
      <c r="Q164" s="295"/>
    </row>
    <row r="165" spans="1:17" ht="15.75" customHeight="1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295"/>
      <c r="P165" s="295"/>
      <c r="Q165" s="295"/>
    </row>
    <row r="166" spans="1:17" ht="15.75" customHeight="1">
      <c r="A166" s="295"/>
      <c r="B166" s="295"/>
      <c r="C166" s="295"/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</row>
    <row r="167" spans="1:17" ht="15.75" customHeight="1">
      <c r="A167" s="295"/>
      <c r="B167" s="295"/>
      <c r="C167" s="295"/>
      <c r="D167" s="295"/>
      <c r="E167" s="295"/>
      <c r="F167" s="295"/>
      <c r="G167" s="295"/>
      <c r="H167" s="295"/>
      <c r="I167" s="295"/>
      <c r="J167" s="295"/>
      <c r="K167" s="295"/>
      <c r="L167" s="295"/>
      <c r="M167" s="295"/>
      <c r="N167" s="295"/>
      <c r="O167" s="295"/>
      <c r="P167" s="295"/>
      <c r="Q167" s="295"/>
    </row>
    <row r="168" spans="1:17" ht="15.75" customHeight="1">
      <c r="A168" s="295"/>
      <c r="B168" s="295"/>
      <c r="C168" s="295"/>
      <c r="D168" s="295"/>
      <c r="E168" s="295"/>
      <c r="F168" s="295"/>
      <c r="G168" s="295"/>
      <c r="H168" s="295"/>
      <c r="I168" s="295"/>
      <c r="J168" s="295"/>
      <c r="K168" s="295"/>
      <c r="L168" s="295"/>
      <c r="M168" s="295"/>
      <c r="N168" s="295"/>
      <c r="O168" s="295"/>
      <c r="P168" s="295"/>
      <c r="Q168" s="295"/>
    </row>
    <row r="169" spans="1:17" ht="15.75" customHeight="1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5"/>
      <c r="P169" s="295"/>
      <c r="Q169" s="295"/>
    </row>
    <row r="170" spans="1:17" ht="15.75" customHeight="1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295"/>
      <c r="P170" s="295"/>
      <c r="Q170" s="295"/>
    </row>
    <row r="171" spans="1:17" ht="15.75" customHeight="1">
      <c r="A171" s="295"/>
      <c r="B171" s="295"/>
      <c r="C171" s="295"/>
      <c r="D171" s="295"/>
      <c r="E171" s="295"/>
      <c r="F171" s="295"/>
      <c r="G171" s="295"/>
      <c r="H171" s="295"/>
      <c r="I171" s="295"/>
      <c r="J171" s="295"/>
      <c r="K171" s="295"/>
      <c r="L171" s="295"/>
      <c r="M171" s="295"/>
      <c r="N171" s="295"/>
      <c r="O171" s="295"/>
      <c r="P171" s="295"/>
      <c r="Q171" s="295"/>
    </row>
    <row r="172" spans="1:17" ht="15.75" customHeight="1">
      <c r="A172" s="295"/>
      <c r="B172" s="295"/>
      <c r="C172" s="295"/>
      <c r="D172" s="295"/>
      <c r="E172" s="295"/>
      <c r="F172" s="295"/>
      <c r="G172" s="295"/>
      <c r="H172" s="295"/>
      <c r="I172" s="295"/>
      <c r="J172" s="295"/>
      <c r="K172" s="295"/>
      <c r="L172" s="295"/>
      <c r="M172" s="295"/>
      <c r="N172" s="295"/>
      <c r="O172" s="295"/>
      <c r="P172" s="295"/>
      <c r="Q172" s="295"/>
    </row>
    <row r="173" spans="1:17" ht="15.75" customHeight="1">
      <c r="A173" s="295"/>
      <c r="B173" s="295"/>
      <c r="C173" s="295"/>
      <c r="D173" s="295"/>
      <c r="E173" s="295"/>
      <c r="F173" s="295"/>
      <c r="G173" s="295"/>
      <c r="H173" s="295"/>
      <c r="I173" s="295"/>
      <c r="J173" s="295"/>
      <c r="K173" s="295"/>
      <c r="L173" s="295"/>
      <c r="M173" s="295"/>
      <c r="N173" s="295"/>
      <c r="O173" s="295"/>
      <c r="P173" s="295"/>
      <c r="Q173" s="295"/>
    </row>
    <row r="174" spans="1:17" ht="15.75" customHeight="1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295"/>
      <c r="P174" s="295"/>
      <c r="Q174" s="295"/>
    </row>
    <row r="175" spans="1:17" ht="15.75" customHeight="1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295"/>
      <c r="P175" s="295"/>
      <c r="Q175" s="295"/>
    </row>
    <row r="176" spans="1:17" ht="15.75" customHeight="1">
      <c r="A176" s="295"/>
      <c r="B176" s="295"/>
      <c r="C176" s="295"/>
      <c r="D176" s="295"/>
      <c r="E176" s="295"/>
      <c r="F176" s="295"/>
      <c r="G176" s="295"/>
      <c r="H176" s="295"/>
      <c r="I176" s="295"/>
      <c r="J176" s="295"/>
      <c r="K176" s="295"/>
      <c r="L176" s="295"/>
      <c r="M176" s="295"/>
      <c r="N176" s="295"/>
      <c r="O176" s="295"/>
      <c r="P176" s="295"/>
      <c r="Q176" s="295"/>
    </row>
    <row r="177" spans="1:17" ht="15.75" customHeight="1">
      <c r="A177" s="295"/>
      <c r="B177" s="295"/>
      <c r="C177" s="295"/>
      <c r="D177" s="295"/>
      <c r="E177" s="295"/>
      <c r="F177" s="295"/>
      <c r="G177" s="295"/>
      <c r="H177" s="295"/>
      <c r="I177" s="295"/>
      <c r="J177" s="295"/>
      <c r="K177" s="295"/>
      <c r="L177" s="295"/>
      <c r="M177" s="295"/>
      <c r="N177" s="295"/>
      <c r="O177" s="295"/>
      <c r="P177" s="295"/>
      <c r="Q177" s="295"/>
    </row>
    <row r="178" spans="1:17" ht="15.75" customHeight="1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5"/>
      <c r="P178" s="295"/>
      <c r="Q178" s="295"/>
    </row>
    <row r="179" spans="1:17" ht="15.75" customHeight="1">
      <c r="A179" s="295"/>
      <c r="B179" s="295"/>
      <c r="C179" s="295"/>
      <c r="D179" s="295"/>
      <c r="E179" s="295"/>
      <c r="F179" s="295"/>
      <c r="G179" s="295"/>
      <c r="H179" s="295"/>
      <c r="I179" s="295"/>
      <c r="J179" s="295"/>
      <c r="K179" s="295"/>
      <c r="L179" s="295"/>
      <c r="M179" s="295"/>
      <c r="N179" s="295"/>
      <c r="O179" s="295"/>
      <c r="P179" s="295"/>
      <c r="Q179" s="295"/>
    </row>
    <row r="180" spans="1:17" ht="15.75" customHeight="1">
      <c r="A180" s="295"/>
      <c r="B180" s="295"/>
      <c r="C180" s="295"/>
      <c r="D180" s="295"/>
      <c r="E180" s="295"/>
      <c r="F180" s="295"/>
      <c r="G180" s="295"/>
      <c r="H180" s="295"/>
      <c r="I180" s="295"/>
      <c r="J180" s="295"/>
      <c r="K180" s="295"/>
      <c r="L180" s="295"/>
      <c r="M180" s="295"/>
      <c r="N180" s="295"/>
      <c r="O180" s="295"/>
      <c r="P180" s="295"/>
      <c r="Q180" s="295"/>
    </row>
    <row r="181" spans="1:17" ht="15.75" customHeight="1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295"/>
      <c r="P181" s="295"/>
      <c r="Q181" s="295"/>
    </row>
    <row r="182" spans="1:17" ht="15.75" customHeight="1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295"/>
      <c r="P182" s="295"/>
      <c r="Q182" s="295"/>
    </row>
    <row r="183" spans="1:17" ht="15.75" customHeight="1">
      <c r="A183" s="295"/>
      <c r="B183" s="295"/>
      <c r="C183" s="295"/>
      <c r="D183" s="295"/>
      <c r="E183" s="295"/>
      <c r="F183" s="295"/>
      <c r="G183" s="295"/>
      <c r="H183" s="295"/>
      <c r="I183" s="295"/>
      <c r="J183" s="295"/>
      <c r="K183" s="295"/>
      <c r="L183" s="295"/>
      <c r="M183" s="295"/>
      <c r="N183" s="295"/>
      <c r="O183" s="295"/>
      <c r="P183" s="295"/>
      <c r="Q183" s="295"/>
    </row>
    <row r="184" spans="1:17" ht="15.75" customHeight="1">
      <c r="A184" s="295"/>
      <c r="B184" s="295"/>
      <c r="C184" s="295"/>
      <c r="D184" s="295"/>
      <c r="E184" s="295"/>
      <c r="F184" s="295"/>
      <c r="G184" s="295"/>
      <c r="H184" s="295"/>
      <c r="I184" s="295"/>
      <c r="J184" s="295"/>
      <c r="K184" s="295"/>
      <c r="L184" s="295"/>
      <c r="M184" s="295"/>
      <c r="N184" s="295"/>
      <c r="O184" s="295"/>
      <c r="P184" s="295"/>
      <c r="Q184" s="295"/>
    </row>
    <row r="185" spans="1:17" ht="15.75" customHeight="1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5"/>
      <c r="P185" s="295"/>
      <c r="Q185" s="295"/>
    </row>
    <row r="186" spans="1:17" ht="15.75" customHeight="1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5"/>
      <c r="P186" s="295"/>
      <c r="Q186" s="295"/>
    </row>
    <row r="187" spans="1:17" ht="15.75" customHeight="1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295"/>
      <c r="P187" s="295"/>
      <c r="Q187" s="295"/>
    </row>
    <row r="188" spans="1:17" ht="15.75" customHeight="1">
      <c r="A188" s="295"/>
      <c r="B188" s="295"/>
      <c r="C188" s="295"/>
      <c r="D188" s="295"/>
      <c r="E188" s="295"/>
      <c r="F188" s="295"/>
      <c r="G188" s="295"/>
      <c r="H188" s="295"/>
      <c r="I188" s="295"/>
      <c r="J188" s="295"/>
      <c r="K188" s="295"/>
      <c r="L188" s="295"/>
      <c r="M188" s="295"/>
      <c r="N188" s="295"/>
      <c r="O188" s="295"/>
      <c r="P188" s="295"/>
      <c r="Q188" s="295"/>
    </row>
    <row r="189" spans="1:17" ht="15.75" customHeight="1">
      <c r="A189" s="295"/>
      <c r="B189" s="295"/>
      <c r="C189" s="295"/>
      <c r="D189" s="295"/>
      <c r="E189" s="295"/>
      <c r="F189" s="295"/>
      <c r="G189" s="295"/>
      <c r="H189" s="295"/>
      <c r="I189" s="295"/>
      <c r="J189" s="295"/>
      <c r="K189" s="295"/>
      <c r="L189" s="295"/>
      <c r="M189" s="295"/>
      <c r="N189" s="295"/>
      <c r="O189" s="295"/>
      <c r="P189" s="295"/>
      <c r="Q189" s="295"/>
    </row>
    <row r="190" spans="1:17" ht="15.75" customHeight="1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</row>
    <row r="191" spans="1:17" ht="15.75" customHeight="1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5"/>
      <c r="P191" s="295"/>
      <c r="Q191" s="295"/>
    </row>
    <row r="192" spans="1:17" ht="15.75" customHeight="1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</row>
    <row r="193" spans="1:17" ht="15.75" customHeight="1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</row>
    <row r="194" spans="1:17" ht="15.75" customHeight="1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</row>
    <row r="195" spans="1:17" ht="15.75" customHeight="1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</row>
    <row r="196" spans="1:17" ht="15.75" customHeight="1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</row>
    <row r="197" spans="1:17" ht="15.75" customHeight="1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</row>
    <row r="198" spans="1:17" ht="15.75" customHeight="1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</row>
    <row r="199" spans="1:17" ht="15.75" customHeight="1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</row>
    <row r="200" spans="1:17" ht="15.75" customHeight="1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5"/>
      <c r="P200" s="295"/>
      <c r="Q200" s="295"/>
    </row>
    <row r="201" spans="1:17" ht="15.75" customHeight="1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295"/>
      <c r="P201" s="295"/>
      <c r="Q201" s="295"/>
    </row>
    <row r="202" spans="1:17" ht="15.75" customHeight="1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</row>
    <row r="203" spans="1:17" ht="15.75" customHeight="1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</row>
    <row r="204" spans="1:17" ht="15.75" customHeight="1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</row>
    <row r="205" spans="1:17" ht="15.75" customHeight="1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</row>
    <row r="206" spans="1:17" ht="15.75" customHeight="1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</row>
    <row r="207" spans="1:17" ht="15.75" customHeight="1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</row>
    <row r="208" spans="1:17" ht="15.75" customHeight="1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</row>
    <row r="209" spans="1:17" ht="15.75" customHeight="1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</row>
    <row r="210" spans="1:17" ht="15.75" customHeight="1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</row>
    <row r="211" spans="1:17" ht="15.75" customHeight="1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</row>
    <row r="212" spans="1:17" ht="15.75" customHeight="1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</row>
    <row r="213" spans="1:17" ht="15.75" customHeight="1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</row>
    <row r="214" spans="1:17" ht="15.75" customHeight="1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</row>
    <row r="215" spans="1:17" ht="15.75" customHeight="1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</row>
    <row r="216" spans="1:17" ht="15.75" customHeight="1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</row>
    <row r="217" spans="1:17" ht="15.75" customHeight="1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</row>
    <row r="218" spans="1:17" ht="15.75" customHeight="1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</row>
    <row r="219" spans="1:17" ht="15.75" customHeight="1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</row>
    <row r="220" spans="1:17" ht="15.75" customHeight="1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</row>
    <row r="221" spans="1:17" ht="15.75" customHeight="1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5"/>
      <c r="Q221" s="295"/>
    </row>
    <row r="222" spans="1:17" ht="15.75" customHeight="1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5"/>
      <c r="Q222" s="295"/>
    </row>
    <row r="223" spans="1:17" ht="15.75" customHeight="1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5"/>
      <c r="P223" s="295"/>
      <c r="Q223" s="295"/>
    </row>
    <row r="224" spans="1:17" ht="15.75" customHeight="1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295"/>
      <c r="P224" s="295"/>
      <c r="Q224" s="295"/>
    </row>
    <row r="225" spans="1:17" ht="15.75" customHeight="1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</row>
    <row r="226" spans="1:17" ht="15.75" customHeight="1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295"/>
      <c r="L226" s="295"/>
      <c r="M226" s="295"/>
      <c r="N226" s="295"/>
      <c r="O226" s="295"/>
      <c r="P226" s="295"/>
      <c r="Q226" s="295"/>
    </row>
    <row r="227" spans="1:17" ht="15.75" customHeight="1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5"/>
      <c r="P227" s="295"/>
      <c r="Q227" s="295"/>
    </row>
    <row r="228" spans="1:17" ht="15.75" customHeight="1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5"/>
      <c r="Q228" s="295"/>
    </row>
    <row r="229" spans="1:17" ht="15.75" customHeight="1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295"/>
      <c r="P229" s="295"/>
      <c r="Q229" s="295"/>
    </row>
    <row r="230" spans="1:17" ht="15.75" customHeight="1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295"/>
      <c r="P230" s="295"/>
      <c r="Q230" s="295"/>
    </row>
    <row r="231" spans="1:17" ht="15.75" customHeight="1">
      <c r="A231" s="295"/>
      <c r="B231" s="295"/>
      <c r="C231" s="295"/>
      <c r="D231" s="295"/>
      <c r="E231" s="295"/>
      <c r="F231" s="295"/>
      <c r="G231" s="295"/>
      <c r="H231" s="295"/>
      <c r="I231" s="295"/>
      <c r="J231" s="295"/>
      <c r="K231" s="295"/>
      <c r="L231" s="295"/>
      <c r="M231" s="295"/>
      <c r="N231" s="295"/>
      <c r="O231" s="295"/>
      <c r="P231" s="295"/>
      <c r="Q231" s="295"/>
    </row>
    <row r="232" spans="1:17" ht="15.75" customHeight="1">
      <c r="A232" s="295"/>
      <c r="B232" s="295"/>
      <c r="C232" s="295"/>
      <c r="D232" s="295"/>
      <c r="E232" s="295"/>
      <c r="F232" s="295"/>
      <c r="G232" s="295"/>
      <c r="H232" s="295"/>
      <c r="I232" s="295"/>
      <c r="J232" s="295"/>
      <c r="K232" s="295"/>
      <c r="L232" s="295"/>
      <c r="M232" s="295"/>
      <c r="N232" s="295"/>
      <c r="O232" s="295"/>
      <c r="P232" s="295"/>
      <c r="Q232" s="295"/>
    </row>
    <row r="233" spans="1:17" ht="15.75" customHeight="1">
      <c r="A233" s="295"/>
      <c r="B233" s="295"/>
      <c r="C233" s="295"/>
      <c r="D233" s="295"/>
      <c r="E233" s="295"/>
      <c r="F233" s="295"/>
      <c r="G233" s="295"/>
      <c r="H233" s="295"/>
      <c r="I233" s="295"/>
      <c r="J233" s="295"/>
      <c r="K233" s="295"/>
      <c r="L233" s="295"/>
      <c r="M233" s="295"/>
      <c r="N233" s="295"/>
      <c r="O233" s="295"/>
      <c r="P233" s="295"/>
      <c r="Q233" s="295"/>
    </row>
    <row r="234" spans="1:17" ht="15.75" customHeight="1">
      <c r="A234" s="295"/>
      <c r="B234" s="295"/>
      <c r="C234" s="295"/>
      <c r="D234" s="295"/>
      <c r="E234" s="295"/>
      <c r="F234" s="295"/>
      <c r="G234" s="295"/>
      <c r="H234" s="295"/>
      <c r="I234" s="295"/>
      <c r="J234" s="295"/>
      <c r="K234" s="295"/>
      <c r="L234" s="295"/>
      <c r="M234" s="295"/>
      <c r="N234" s="295"/>
      <c r="O234" s="295"/>
      <c r="P234" s="295"/>
      <c r="Q234" s="295"/>
    </row>
    <row r="235" spans="1:17" ht="15.75" customHeight="1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295"/>
      <c r="P235" s="295"/>
      <c r="Q235" s="295"/>
    </row>
    <row r="236" spans="1:17" ht="15.75" customHeight="1"/>
    <row r="237" spans="1:17" ht="15.75" customHeight="1"/>
    <row r="238" spans="1:17" ht="15.75" customHeight="1"/>
    <row r="239" spans="1:17" ht="15.75" customHeight="1"/>
    <row r="240" spans="1:1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K17:K24"/>
    <mergeCell ref="L17:L24"/>
    <mergeCell ref="M17:M24"/>
    <mergeCell ref="A17:A24"/>
    <mergeCell ref="B17:B24"/>
    <mergeCell ref="C17:D24"/>
    <mergeCell ref="E17:E24"/>
    <mergeCell ref="F17:F24"/>
    <mergeCell ref="I17:I24"/>
    <mergeCell ref="J17:J24"/>
    <mergeCell ref="M25:M26"/>
    <mergeCell ref="A28:O28"/>
    <mergeCell ref="A25:A26"/>
    <mergeCell ref="B25:B26"/>
    <mergeCell ref="E25:E26"/>
    <mergeCell ref="F25:F26"/>
    <mergeCell ref="I25:I26"/>
    <mergeCell ref="J25:J26"/>
    <mergeCell ref="L25:L26"/>
    <mergeCell ref="J9:J16"/>
    <mergeCell ref="A1:O1"/>
    <mergeCell ref="A2:O2"/>
    <mergeCell ref="A6:H6"/>
    <mergeCell ref="B3:C3"/>
    <mergeCell ref="K9:K16"/>
    <mergeCell ref="L9:L16"/>
    <mergeCell ref="M9:M16"/>
    <mergeCell ref="E7:H7"/>
    <mergeCell ref="L7:O7"/>
    <mergeCell ref="A9:A16"/>
    <mergeCell ref="B9:B16"/>
    <mergeCell ref="C9:D16"/>
    <mergeCell ref="E9:E16"/>
    <mergeCell ref="F9:F16"/>
    <mergeCell ref="I9:I16"/>
    <mergeCell ref="N4:O4"/>
    <mergeCell ref="I7:I8"/>
    <mergeCell ref="J7:J8"/>
    <mergeCell ref="B4:C4"/>
    <mergeCell ref="B5:C5"/>
    <mergeCell ref="I3:K3"/>
    <mergeCell ref="A7:A8"/>
    <mergeCell ref="B7:B8"/>
    <mergeCell ref="C7:D8"/>
    <mergeCell ref="K7:K8"/>
  </mergeCells>
  <pageMargins left="0.7" right="0.7" top="0.75" bottom="0.75" header="0" footer="0"/>
  <pageSetup scale="5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0">
    <tabColor rgb="FFFF0000"/>
    <pageSetUpPr fitToPage="1"/>
  </sheetPr>
  <dimension ref="A1:AC1000"/>
  <sheetViews>
    <sheetView showGridLines="0" zoomScale="30" zoomScaleNormal="30" workbookViewId="0">
      <selection activeCell="P5" sqref="P5:R5"/>
    </sheetView>
  </sheetViews>
  <sheetFormatPr defaultColWidth="12.7109375" defaultRowHeight="15" customHeight="1"/>
  <cols>
    <col min="1" max="1" width="32.7109375" customWidth="1"/>
    <col min="2" max="3" width="22.7109375" customWidth="1"/>
    <col min="4" max="4" width="42.7109375" customWidth="1"/>
    <col min="5" max="5" width="32.7109375" customWidth="1"/>
    <col min="6" max="7" width="22.7109375" customWidth="1"/>
    <col min="8" max="8" width="42.7109375" customWidth="1"/>
    <col min="9" max="9" width="32.7109375" customWidth="1"/>
    <col min="10" max="11" width="22.7109375" customWidth="1"/>
    <col min="12" max="12" width="42.7109375" customWidth="1"/>
    <col min="13" max="13" width="32.7109375" customWidth="1"/>
    <col min="14" max="15" width="22.7109375" customWidth="1"/>
    <col min="16" max="16" width="42.7109375" customWidth="1"/>
    <col min="17" max="17" width="32.7109375" customWidth="1"/>
    <col min="18" max="19" width="22.7109375" customWidth="1"/>
    <col min="20" max="20" width="42.7109375" customWidth="1"/>
    <col min="21" max="21" width="12.7109375" customWidth="1"/>
    <col min="22" max="22" width="9.140625" customWidth="1"/>
    <col min="23" max="23" width="14.85546875" customWidth="1"/>
    <col min="24" max="24" width="11.140625" customWidth="1"/>
    <col min="25" max="25" width="12.85546875" customWidth="1"/>
    <col min="26" max="26" width="9.140625" customWidth="1"/>
    <col min="27" max="27" width="11.7109375" customWidth="1"/>
    <col min="28" max="28" width="7.7109375" customWidth="1"/>
    <col min="29" max="29" width="11.85546875" customWidth="1"/>
  </cols>
  <sheetData>
    <row r="1" spans="1:29" ht="126" customHeight="1">
      <c r="A1" s="648" t="s">
        <v>8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146"/>
      <c r="V1" s="146"/>
      <c r="W1" s="146"/>
      <c r="X1" s="146"/>
      <c r="Y1" s="146"/>
      <c r="Z1" s="146"/>
      <c r="AA1" s="146"/>
      <c r="AB1" s="146"/>
      <c r="AC1" s="146"/>
    </row>
    <row r="2" spans="1:29" ht="51.75" customHeight="1">
      <c r="A2" s="649" t="s">
        <v>345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147"/>
      <c r="V2" s="147"/>
      <c r="W2" s="147"/>
      <c r="X2" s="147"/>
      <c r="Y2" s="147"/>
      <c r="Z2" s="147"/>
      <c r="AA2" s="147"/>
      <c r="AB2" s="147"/>
      <c r="AC2" s="147"/>
    </row>
    <row r="3" spans="1:29" ht="51.75" customHeight="1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7"/>
      <c r="V3" s="147"/>
      <c r="W3" s="147"/>
      <c r="X3" s="147"/>
      <c r="Y3" s="147"/>
      <c r="Z3" s="147"/>
      <c r="AA3" s="147"/>
      <c r="AB3" s="147"/>
      <c r="AC3" s="147"/>
    </row>
    <row r="4" spans="1:29" ht="85.9" customHeight="1">
      <c r="A4" s="149" t="s">
        <v>10</v>
      </c>
      <c r="B4" s="652" t="str">
        <f>'support table'!$B$2</f>
        <v>[REGION]</v>
      </c>
      <c r="C4" s="458"/>
      <c r="D4" s="150"/>
      <c r="E4" s="151"/>
      <c r="F4" s="152"/>
      <c r="G4" s="149"/>
      <c r="H4" s="149" t="s">
        <v>11</v>
      </c>
      <c r="I4" s="651" t="str">
        <f>'support table'!$B$3</f>
        <v>[NAMA_LOKASI]</v>
      </c>
      <c r="J4" s="651"/>
      <c r="K4" s="651"/>
      <c r="L4" s="651"/>
      <c r="M4" s="151"/>
      <c r="N4" s="151"/>
      <c r="O4" s="149" t="s">
        <v>363</v>
      </c>
      <c r="P4" s="153" t="s">
        <v>364</v>
      </c>
      <c r="Q4" s="154"/>
      <c r="R4" s="154"/>
      <c r="S4" s="155"/>
      <c r="T4" s="154"/>
      <c r="U4" s="151"/>
      <c r="V4" s="156"/>
      <c r="W4" s="151"/>
      <c r="X4" s="151"/>
      <c r="Y4" s="151"/>
      <c r="Z4" s="151"/>
      <c r="AA4" s="151"/>
      <c r="AB4" s="151"/>
      <c r="AC4" s="151"/>
    </row>
    <row r="5" spans="1:29" ht="54" customHeight="1">
      <c r="A5" s="149" t="s">
        <v>365</v>
      </c>
      <c r="B5" s="652" t="str">
        <f>'support table'!$B$6</f>
        <v>[NAMA_OLT]</v>
      </c>
      <c r="C5" s="458"/>
      <c r="D5" s="150"/>
      <c r="E5" s="151"/>
      <c r="F5" s="157"/>
      <c r="G5" s="156"/>
      <c r="H5" s="149" t="s">
        <v>350</v>
      </c>
      <c r="I5" s="158"/>
      <c r="J5" s="159"/>
      <c r="K5" s="160"/>
      <c r="L5" s="160"/>
      <c r="M5" s="161"/>
      <c r="N5" s="161"/>
      <c r="O5" s="149" t="s">
        <v>351</v>
      </c>
      <c r="P5" s="653" t="str">
        <f>'support table'!$B$7</f>
        <v>[ID_FDT_FROM]</v>
      </c>
      <c r="Q5" s="653"/>
      <c r="R5" s="653"/>
      <c r="S5" s="159"/>
      <c r="T5" s="162"/>
      <c r="U5" s="163"/>
      <c r="V5" s="163"/>
      <c r="W5" s="151"/>
      <c r="X5" s="151"/>
      <c r="Y5" s="151"/>
      <c r="Z5" s="151"/>
      <c r="AA5" s="151"/>
      <c r="AB5" s="151"/>
      <c r="AC5" s="151"/>
    </row>
    <row r="6" spans="1:29" ht="36" customHeight="1">
      <c r="A6" s="149" t="s">
        <v>14</v>
      </c>
      <c r="B6" s="240" t="str">
        <f>'support table'!$B$5</f>
        <v>[ALAMAT]</v>
      </c>
      <c r="C6" s="235"/>
      <c r="D6" s="164"/>
      <c r="E6" s="151"/>
      <c r="F6" s="157"/>
      <c r="G6" s="156"/>
      <c r="H6" s="149" t="s">
        <v>353</v>
      </c>
      <c r="I6" s="158"/>
      <c r="J6" s="159"/>
      <c r="K6" s="160"/>
      <c r="L6" s="160"/>
      <c r="M6" s="161"/>
      <c r="N6" s="161"/>
      <c r="O6" s="149" t="s">
        <v>366</v>
      </c>
      <c r="P6" s="162"/>
      <c r="Q6" s="162"/>
      <c r="R6" s="162"/>
      <c r="S6" s="159"/>
      <c r="T6" s="162"/>
      <c r="U6" s="163"/>
      <c r="V6" s="156"/>
      <c r="W6" s="151"/>
      <c r="X6" s="151"/>
      <c r="Y6" s="151"/>
      <c r="Z6" s="151"/>
      <c r="AA6" s="151"/>
      <c r="AB6" s="151"/>
      <c r="AC6" s="151"/>
    </row>
    <row r="7" spans="1:29" ht="30.75" customHeight="1">
      <c r="A7" s="650"/>
      <c r="B7" s="444"/>
      <c r="C7" s="444"/>
      <c r="D7" s="444"/>
      <c r="E7" s="165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5"/>
      <c r="U7" s="165"/>
      <c r="V7" s="166"/>
      <c r="W7" s="166"/>
      <c r="X7" s="166"/>
      <c r="Y7" s="166"/>
      <c r="Z7" s="166"/>
      <c r="AA7" s="166"/>
      <c r="AB7" s="166"/>
      <c r="AC7" s="166"/>
    </row>
    <row r="8" spans="1:29" s="268" customFormat="1" ht="34.9" customHeight="1">
      <c r="A8" s="643" t="s">
        <v>367</v>
      </c>
      <c r="B8" s="645" t="s">
        <v>368</v>
      </c>
      <c r="C8" s="645" t="s">
        <v>369</v>
      </c>
      <c r="D8" s="645" t="s">
        <v>358</v>
      </c>
      <c r="E8" s="643" t="s">
        <v>367</v>
      </c>
      <c r="F8" s="645" t="s">
        <v>370</v>
      </c>
      <c r="G8" s="645" t="s">
        <v>369</v>
      </c>
      <c r="H8" s="645" t="s">
        <v>358</v>
      </c>
      <c r="I8" s="643" t="s">
        <v>367</v>
      </c>
      <c r="J8" s="645" t="s">
        <v>370</v>
      </c>
      <c r="K8" s="645" t="s">
        <v>369</v>
      </c>
      <c r="L8" s="645" t="s">
        <v>358</v>
      </c>
      <c r="M8" s="643" t="s">
        <v>367</v>
      </c>
      <c r="N8" s="645" t="s">
        <v>370</v>
      </c>
      <c r="O8" s="645" t="s">
        <v>369</v>
      </c>
      <c r="P8" s="645" t="s">
        <v>358</v>
      </c>
      <c r="Q8" s="643" t="s">
        <v>367</v>
      </c>
      <c r="R8" s="645" t="s">
        <v>370</v>
      </c>
      <c r="S8" s="645" t="s">
        <v>369</v>
      </c>
      <c r="T8" s="645" t="s">
        <v>358</v>
      </c>
      <c r="U8" s="266"/>
      <c r="V8" s="266"/>
      <c r="W8" s="266"/>
      <c r="X8" s="267"/>
      <c r="Y8" s="267"/>
      <c r="Z8" s="267"/>
      <c r="AA8" s="267"/>
      <c r="AB8" s="267"/>
      <c r="AC8" s="267"/>
    </row>
    <row r="9" spans="1:29" s="268" customFormat="1" ht="61.9" customHeight="1">
      <c r="A9" s="644"/>
      <c r="B9" s="644"/>
      <c r="C9" s="644"/>
      <c r="D9" s="644"/>
      <c r="E9" s="644"/>
      <c r="F9" s="644"/>
      <c r="G9" s="644"/>
      <c r="H9" s="644"/>
      <c r="I9" s="644"/>
      <c r="J9" s="644"/>
      <c r="K9" s="644"/>
      <c r="L9" s="644"/>
      <c r="M9" s="644"/>
      <c r="N9" s="644"/>
      <c r="O9" s="644"/>
      <c r="P9" s="644"/>
      <c r="Q9" s="644"/>
      <c r="R9" s="644"/>
      <c r="S9" s="644"/>
      <c r="T9" s="644"/>
      <c r="U9" s="266"/>
      <c r="V9" s="267"/>
      <c r="W9" s="267"/>
      <c r="X9" s="267"/>
      <c r="Y9" s="267"/>
      <c r="Z9" s="267"/>
      <c r="AA9" s="267"/>
      <c r="AB9" s="267"/>
      <c r="AC9" s="267"/>
    </row>
    <row r="10" spans="1:29" s="249" customFormat="1" ht="48" customHeight="1">
      <c r="A10" s="646" t="s">
        <v>499</v>
      </c>
      <c r="B10" s="264">
        <v>1</v>
      </c>
      <c r="C10" s="264">
        <v>1490</v>
      </c>
      <c r="D10" s="274" t="s">
        <v>504</v>
      </c>
      <c r="E10" s="636" t="s">
        <v>499</v>
      </c>
      <c r="F10" s="243">
        <v>1</v>
      </c>
      <c r="G10" s="244">
        <v>1490</v>
      </c>
      <c r="H10" s="274" t="s">
        <v>504</v>
      </c>
      <c r="I10" s="636" t="s">
        <v>499</v>
      </c>
      <c r="J10" s="243">
        <v>1</v>
      </c>
      <c r="K10" s="244">
        <v>1490</v>
      </c>
      <c r="L10" s="274" t="s">
        <v>504</v>
      </c>
      <c r="M10" s="636" t="s">
        <v>499</v>
      </c>
      <c r="N10" s="243">
        <v>1</v>
      </c>
      <c r="O10" s="244">
        <v>1490</v>
      </c>
      <c r="P10" s="274" t="s">
        <v>504</v>
      </c>
      <c r="Q10" s="636" t="s">
        <v>499</v>
      </c>
      <c r="R10" s="243">
        <v>1</v>
      </c>
      <c r="S10" s="244">
        <v>1490</v>
      </c>
      <c r="T10" s="274" t="s">
        <v>504</v>
      </c>
      <c r="U10" s="245"/>
      <c r="V10" s="246"/>
      <c r="W10" s="247"/>
      <c r="X10" s="248"/>
      <c r="Y10" s="248"/>
      <c r="Z10" s="248"/>
      <c r="AA10" s="248"/>
      <c r="AB10" s="248"/>
      <c r="AC10" s="248"/>
    </row>
    <row r="11" spans="1:29" s="249" customFormat="1" ht="48" customHeight="1">
      <c r="A11" s="647"/>
      <c r="B11" s="264">
        <v>2</v>
      </c>
      <c r="C11" s="264">
        <v>1490</v>
      </c>
      <c r="D11" s="274" t="s">
        <v>504</v>
      </c>
      <c r="E11" s="637"/>
      <c r="F11" s="243">
        <v>2</v>
      </c>
      <c r="G11" s="244">
        <v>1490</v>
      </c>
      <c r="H11" s="274" t="s">
        <v>504</v>
      </c>
      <c r="I11" s="637"/>
      <c r="J11" s="243">
        <v>2</v>
      </c>
      <c r="K11" s="244">
        <v>1490</v>
      </c>
      <c r="L11" s="274" t="s">
        <v>504</v>
      </c>
      <c r="M11" s="637"/>
      <c r="N11" s="243">
        <v>2</v>
      </c>
      <c r="O11" s="244">
        <v>1490</v>
      </c>
      <c r="P11" s="274" t="s">
        <v>504</v>
      </c>
      <c r="Q11" s="637"/>
      <c r="R11" s="243">
        <v>2</v>
      </c>
      <c r="S11" s="244">
        <v>1490</v>
      </c>
      <c r="T11" s="274" t="s">
        <v>504</v>
      </c>
      <c r="U11" s="246"/>
      <c r="V11" s="246"/>
      <c r="W11" s="247"/>
      <c r="X11" s="248"/>
      <c r="Y11" s="248"/>
      <c r="Z11" s="248"/>
      <c r="AA11" s="248"/>
      <c r="AB11" s="248"/>
      <c r="AC11" s="248"/>
    </row>
    <row r="12" spans="1:29" s="249" customFormat="1" ht="48" customHeight="1">
      <c r="A12" s="647"/>
      <c r="B12" s="264">
        <v>3</v>
      </c>
      <c r="C12" s="264">
        <v>1490</v>
      </c>
      <c r="D12" s="274" t="s">
        <v>504</v>
      </c>
      <c r="E12" s="637"/>
      <c r="F12" s="243">
        <v>3</v>
      </c>
      <c r="G12" s="244">
        <v>1490</v>
      </c>
      <c r="H12" s="274" t="s">
        <v>504</v>
      </c>
      <c r="I12" s="637"/>
      <c r="J12" s="243">
        <v>3</v>
      </c>
      <c r="K12" s="244">
        <v>1490</v>
      </c>
      <c r="L12" s="274" t="s">
        <v>504</v>
      </c>
      <c r="M12" s="637"/>
      <c r="N12" s="243">
        <v>3</v>
      </c>
      <c r="O12" s="244">
        <v>1490</v>
      </c>
      <c r="P12" s="274" t="s">
        <v>504</v>
      </c>
      <c r="Q12" s="637"/>
      <c r="R12" s="243">
        <v>3</v>
      </c>
      <c r="S12" s="244">
        <v>1490</v>
      </c>
      <c r="T12" s="274" t="s">
        <v>504</v>
      </c>
      <c r="U12" s="246"/>
      <c r="V12" s="246"/>
      <c r="W12" s="247"/>
      <c r="X12" s="248"/>
      <c r="Y12" s="248"/>
      <c r="Z12" s="248"/>
      <c r="AA12" s="248"/>
      <c r="AB12" s="248"/>
      <c r="AC12" s="248"/>
    </row>
    <row r="13" spans="1:29" s="249" customFormat="1" ht="48" customHeight="1">
      <c r="A13" s="647"/>
      <c r="B13" s="264">
        <v>4</v>
      </c>
      <c r="C13" s="264">
        <v>1490</v>
      </c>
      <c r="D13" s="274" t="s">
        <v>504</v>
      </c>
      <c r="E13" s="637"/>
      <c r="F13" s="243">
        <v>4</v>
      </c>
      <c r="G13" s="244">
        <v>1490</v>
      </c>
      <c r="H13" s="274" t="s">
        <v>504</v>
      </c>
      <c r="I13" s="637"/>
      <c r="J13" s="243">
        <v>4</v>
      </c>
      <c r="K13" s="244">
        <v>1490</v>
      </c>
      <c r="L13" s="274" t="s">
        <v>504</v>
      </c>
      <c r="M13" s="637"/>
      <c r="N13" s="243">
        <v>4</v>
      </c>
      <c r="O13" s="244">
        <v>1490</v>
      </c>
      <c r="P13" s="274" t="s">
        <v>504</v>
      </c>
      <c r="Q13" s="637"/>
      <c r="R13" s="243">
        <v>4</v>
      </c>
      <c r="S13" s="244">
        <v>1490</v>
      </c>
      <c r="T13" s="274" t="s">
        <v>504</v>
      </c>
      <c r="U13" s="246"/>
      <c r="V13" s="246"/>
      <c r="W13" s="247"/>
      <c r="X13" s="248"/>
      <c r="Y13" s="248"/>
      <c r="Z13" s="248"/>
      <c r="AA13" s="248"/>
      <c r="AB13" s="248"/>
      <c r="AC13" s="248"/>
    </row>
    <row r="14" spans="1:29" s="249" customFormat="1" ht="48" customHeight="1">
      <c r="A14" s="647"/>
      <c r="B14" s="264">
        <v>5</v>
      </c>
      <c r="C14" s="264">
        <v>1490</v>
      </c>
      <c r="D14" s="274" t="s">
        <v>504</v>
      </c>
      <c r="E14" s="637"/>
      <c r="F14" s="243">
        <v>5</v>
      </c>
      <c r="G14" s="244">
        <v>1490</v>
      </c>
      <c r="H14" s="274" t="s">
        <v>504</v>
      </c>
      <c r="I14" s="637"/>
      <c r="J14" s="243">
        <v>5</v>
      </c>
      <c r="K14" s="244">
        <v>1490</v>
      </c>
      <c r="L14" s="274" t="s">
        <v>504</v>
      </c>
      <c r="M14" s="637"/>
      <c r="N14" s="243">
        <v>5</v>
      </c>
      <c r="O14" s="244">
        <v>1490</v>
      </c>
      <c r="P14" s="274" t="s">
        <v>504</v>
      </c>
      <c r="Q14" s="637"/>
      <c r="R14" s="243">
        <v>5</v>
      </c>
      <c r="S14" s="244">
        <v>1490</v>
      </c>
      <c r="T14" s="274" t="s">
        <v>504</v>
      </c>
      <c r="U14" s="246"/>
      <c r="V14" s="246"/>
      <c r="W14" s="247"/>
      <c r="X14" s="248"/>
      <c r="Y14" s="248"/>
      <c r="Z14" s="248"/>
      <c r="AA14" s="248"/>
      <c r="AB14" s="248"/>
      <c r="AC14" s="248"/>
    </row>
    <row r="15" spans="1:29" s="249" customFormat="1" ht="48" customHeight="1">
      <c r="A15" s="647"/>
      <c r="B15" s="264">
        <v>6</v>
      </c>
      <c r="C15" s="264">
        <v>1490</v>
      </c>
      <c r="D15" s="274" t="s">
        <v>504</v>
      </c>
      <c r="E15" s="637"/>
      <c r="F15" s="243">
        <v>6</v>
      </c>
      <c r="G15" s="244">
        <v>1490</v>
      </c>
      <c r="H15" s="274" t="s">
        <v>504</v>
      </c>
      <c r="I15" s="637"/>
      <c r="J15" s="243">
        <v>6</v>
      </c>
      <c r="K15" s="244">
        <v>1490</v>
      </c>
      <c r="L15" s="274" t="s">
        <v>504</v>
      </c>
      <c r="M15" s="637"/>
      <c r="N15" s="243">
        <v>6</v>
      </c>
      <c r="O15" s="244">
        <v>1490</v>
      </c>
      <c r="P15" s="274" t="s">
        <v>504</v>
      </c>
      <c r="Q15" s="637"/>
      <c r="R15" s="243">
        <v>6</v>
      </c>
      <c r="S15" s="244">
        <v>1490</v>
      </c>
      <c r="T15" s="274" t="s">
        <v>504</v>
      </c>
      <c r="U15" s="246"/>
      <c r="V15" s="246"/>
      <c r="W15" s="247"/>
      <c r="X15" s="248"/>
      <c r="Y15" s="248"/>
      <c r="Z15" s="248"/>
      <c r="AA15" s="248"/>
      <c r="AB15" s="248"/>
      <c r="AC15" s="248"/>
    </row>
    <row r="16" spans="1:29" s="249" customFormat="1" ht="48" customHeight="1">
      <c r="A16" s="647"/>
      <c r="B16" s="264">
        <v>7</v>
      </c>
      <c r="C16" s="264">
        <v>1490</v>
      </c>
      <c r="D16" s="274" t="s">
        <v>504</v>
      </c>
      <c r="E16" s="637"/>
      <c r="F16" s="243">
        <v>7</v>
      </c>
      <c r="G16" s="244">
        <v>1490</v>
      </c>
      <c r="H16" s="274" t="s">
        <v>504</v>
      </c>
      <c r="I16" s="637"/>
      <c r="J16" s="243">
        <v>7</v>
      </c>
      <c r="K16" s="244">
        <v>1490</v>
      </c>
      <c r="L16" s="274" t="s">
        <v>504</v>
      </c>
      <c r="M16" s="637"/>
      <c r="N16" s="243">
        <v>7</v>
      </c>
      <c r="O16" s="244">
        <v>1490</v>
      </c>
      <c r="P16" s="274" t="s">
        <v>504</v>
      </c>
      <c r="Q16" s="637"/>
      <c r="R16" s="243">
        <v>7</v>
      </c>
      <c r="S16" s="244">
        <v>1490</v>
      </c>
      <c r="T16" s="274" t="s">
        <v>504</v>
      </c>
      <c r="U16" s="246"/>
      <c r="V16" s="246"/>
      <c r="W16" s="247"/>
      <c r="X16" s="248"/>
      <c r="Y16" s="248"/>
      <c r="Z16" s="248"/>
      <c r="AA16" s="248"/>
      <c r="AB16" s="248"/>
      <c r="AC16" s="248"/>
    </row>
    <row r="17" spans="1:29" s="249" customFormat="1" ht="48" customHeight="1">
      <c r="A17" s="647"/>
      <c r="B17" s="264">
        <v>8</v>
      </c>
      <c r="C17" s="264">
        <v>1490</v>
      </c>
      <c r="D17" s="274" t="s">
        <v>504</v>
      </c>
      <c r="E17" s="637"/>
      <c r="F17" s="243">
        <v>8</v>
      </c>
      <c r="G17" s="244">
        <v>1490</v>
      </c>
      <c r="H17" s="274" t="s">
        <v>504</v>
      </c>
      <c r="I17" s="637"/>
      <c r="J17" s="243">
        <v>8</v>
      </c>
      <c r="K17" s="244">
        <v>1490</v>
      </c>
      <c r="L17" s="274" t="s">
        <v>504</v>
      </c>
      <c r="M17" s="637"/>
      <c r="N17" s="243">
        <v>8</v>
      </c>
      <c r="O17" s="244">
        <v>1490</v>
      </c>
      <c r="P17" s="274" t="s">
        <v>504</v>
      </c>
      <c r="Q17" s="637"/>
      <c r="R17" s="243">
        <v>8</v>
      </c>
      <c r="S17" s="244">
        <v>1490</v>
      </c>
      <c r="T17" s="274" t="s">
        <v>504</v>
      </c>
      <c r="U17" s="246"/>
      <c r="V17" s="246"/>
      <c r="W17" s="247"/>
      <c r="X17" s="248"/>
      <c r="Y17" s="248"/>
      <c r="Z17" s="248"/>
      <c r="AA17" s="248"/>
      <c r="AB17" s="248"/>
      <c r="AC17" s="248"/>
    </row>
    <row r="18" spans="1:29" s="249" customFormat="1" ht="48" customHeight="1">
      <c r="A18" s="647"/>
      <c r="B18" s="264">
        <v>9</v>
      </c>
      <c r="C18" s="264">
        <v>1490</v>
      </c>
      <c r="D18" s="272"/>
      <c r="E18" s="637"/>
      <c r="F18" s="243">
        <v>9</v>
      </c>
      <c r="G18" s="244">
        <v>1490</v>
      </c>
      <c r="H18" s="273"/>
      <c r="I18" s="637"/>
      <c r="J18" s="243">
        <v>9</v>
      </c>
      <c r="K18" s="244">
        <v>1490</v>
      </c>
      <c r="L18" s="273"/>
      <c r="M18" s="637"/>
      <c r="N18" s="243">
        <v>9</v>
      </c>
      <c r="O18" s="244">
        <v>1490</v>
      </c>
      <c r="P18" s="273"/>
      <c r="Q18" s="637"/>
      <c r="R18" s="243">
        <v>9</v>
      </c>
      <c r="S18" s="244">
        <v>1490</v>
      </c>
      <c r="T18" s="273"/>
      <c r="U18" s="246"/>
      <c r="V18" s="246"/>
      <c r="W18" s="247"/>
      <c r="X18" s="248"/>
      <c r="Y18" s="248"/>
      <c r="Z18" s="248"/>
      <c r="AA18" s="248"/>
      <c r="AB18" s="248"/>
      <c r="AC18" s="248"/>
    </row>
    <row r="19" spans="1:29" s="249" customFormat="1" ht="48" customHeight="1">
      <c r="A19" s="647"/>
      <c r="B19" s="264">
        <v>10</v>
      </c>
      <c r="C19" s="264">
        <v>1490</v>
      </c>
      <c r="D19" s="272"/>
      <c r="E19" s="637"/>
      <c r="F19" s="243">
        <v>10</v>
      </c>
      <c r="G19" s="244">
        <v>1490</v>
      </c>
      <c r="H19" s="273"/>
      <c r="I19" s="637"/>
      <c r="J19" s="243">
        <v>10</v>
      </c>
      <c r="K19" s="244">
        <v>1490</v>
      </c>
      <c r="L19" s="273"/>
      <c r="M19" s="637"/>
      <c r="N19" s="243">
        <v>10</v>
      </c>
      <c r="O19" s="244">
        <v>1490</v>
      </c>
      <c r="P19" s="273"/>
      <c r="Q19" s="637"/>
      <c r="R19" s="243">
        <v>10</v>
      </c>
      <c r="S19" s="244">
        <v>1490</v>
      </c>
      <c r="T19" s="273"/>
      <c r="U19" s="246"/>
      <c r="V19" s="246"/>
      <c r="W19" s="247"/>
      <c r="X19" s="248"/>
      <c r="Y19" s="248"/>
      <c r="Z19" s="248"/>
      <c r="AA19" s="248"/>
      <c r="AB19" s="248"/>
      <c r="AC19" s="248"/>
    </row>
    <row r="20" spans="1:29" s="249" customFormat="1" ht="48" customHeight="1">
      <c r="A20" s="647"/>
      <c r="B20" s="264">
        <v>11</v>
      </c>
      <c r="C20" s="264">
        <v>1490</v>
      </c>
      <c r="D20" s="272"/>
      <c r="E20" s="637"/>
      <c r="F20" s="243">
        <v>11</v>
      </c>
      <c r="G20" s="244">
        <v>1490</v>
      </c>
      <c r="H20" s="273"/>
      <c r="I20" s="637"/>
      <c r="J20" s="243">
        <v>11</v>
      </c>
      <c r="K20" s="244">
        <v>1490</v>
      </c>
      <c r="L20" s="273"/>
      <c r="M20" s="637"/>
      <c r="N20" s="243">
        <v>11</v>
      </c>
      <c r="O20" s="244">
        <v>1490</v>
      </c>
      <c r="P20" s="273"/>
      <c r="Q20" s="637"/>
      <c r="R20" s="243">
        <v>11</v>
      </c>
      <c r="S20" s="244">
        <v>1490</v>
      </c>
      <c r="T20" s="273"/>
      <c r="U20" s="246"/>
      <c r="V20" s="246"/>
      <c r="W20" s="247"/>
      <c r="X20" s="248"/>
      <c r="Y20" s="248"/>
      <c r="Z20" s="248"/>
      <c r="AA20" s="248"/>
      <c r="AB20" s="248"/>
      <c r="AC20" s="248"/>
    </row>
    <row r="21" spans="1:29" s="249" customFormat="1" ht="48" customHeight="1">
      <c r="A21" s="647"/>
      <c r="B21" s="264">
        <v>12</v>
      </c>
      <c r="C21" s="264">
        <v>1490</v>
      </c>
      <c r="D21" s="272"/>
      <c r="E21" s="637"/>
      <c r="F21" s="243">
        <v>12</v>
      </c>
      <c r="G21" s="244">
        <v>1490</v>
      </c>
      <c r="H21" s="273"/>
      <c r="I21" s="637"/>
      <c r="J21" s="243">
        <v>12</v>
      </c>
      <c r="K21" s="244">
        <v>1490</v>
      </c>
      <c r="L21" s="273"/>
      <c r="M21" s="637"/>
      <c r="N21" s="243">
        <v>12</v>
      </c>
      <c r="O21" s="244">
        <v>1490</v>
      </c>
      <c r="P21" s="273"/>
      <c r="Q21" s="637"/>
      <c r="R21" s="243">
        <v>12</v>
      </c>
      <c r="S21" s="244">
        <v>1490</v>
      </c>
      <c r="T21" s="273"/>
      <c r="U21" s="246"/>
      <c r="V21" s="246"/>
      <c r="W21" s="247"/>
      <c r="X21" s="248"/>
      <c r="Y21" s="248"/>
      <c r="Z21" s="248"/>
      <c r="AA21" s="248"/>
      <c r="AB21" s="248"/>
      <c r="AC21" s="248"/>
    </row>
    <row r="22" spans="1:29" s="249" customFormat="1" ht="48" customHeight="1">
      <c r="A22" s="647"/>
      <c r="B22" s="264">
        <v>13</v>
      </c>
      <c r="C22" s="264">
        <v>1490</v>
      </c>
      <c r="D22" s="272"/>
      <c r="E22" s="637"/>
      <c r="F22" s="243">
        <v>13</v>
      </c>
      <c r="G22" s="244">
        <v>1490</v>
      </c>
      <c r="H22" s="273"/>
      <c r="I22" s="637"/>
      <c r="J22" s="243">
        <v>13</v>
      </c>
      <c r="K22" s="244">
        <v>1490</v>
      </c>
      <c r="L22" s="273"/>
      <c r="M22" s="637"/>
      <c r="N22" s="243">
        <v>13</v>
      </c>
      <c r="O22" s="244">
        <v>1490</v>
      </c>
      <c r="P22" s="273"/>
      <c r="Q22" s="637"/>
      <c r="R22" s="243">
        <v>13</v>
      </c>
      <c r="S22" s="244">
        <v>1490</v>
      </c>
      <c r="T22" s="273"/>
      <c r="U22" s="245"/>
      <c r="V22" s="246"/>
      <c r="W22" s="247"/>
      <c r="X22" s="248"/>
      <c r="Y22" s="248"/>
      <c r="Z22" s="248"/>
      <c r="AA22" s="248"/>
      <c r="AB22" s="248"/>
      <c r="AC22" s="248"/>
    </row>
    <row r="23" spans="1:29" s="249" customFormat="1" ht="48" customHeight="1">
      <c r="A23" s="647"/>
      <c r="B23" s="264">
        <v>14</v>
      </c>
      <c r="C23" s="264">
        <v>1490</v>
      </c>
      <c r="D23" s="272"/>
      <c r="E23" s="637"/>
      <c r="F23" s="243">
        <v>14</v>
      </c>
      <c r="G23" s="244">
        <v>1490</v>
      </c>
      <c r="H23" s="273"/>
      <c r="I23" s="637"/>
      <c r="J23" s="243">
        <v>14</v>
      </c>
      <c r="K23" s="244">
        <v>1490</v>
      </c>
      <c r="L23" s="273"/>
      <c r="M23" s="637"/>
      <c r="N23" s="243">
        <v>14</v>
      </c>
      <c r="O23" s="244">
        <v>1490</v>
      </c>
      <c r="P23" s="273"/>
      <c r="Q23" s="637"/>
      <c r="R23" s="243">
        <v>14</v>
      </c>
      <c r="S23" s="244">
        <v>1490</v>
      </c>
      <c r="T23" s="273"/>
      <c r="U23" s="246"/>
      <c r="V23" s="246"/>
      <c r="W23" s="247"/>
      <c r="X23" s="248"/>
      <c r="Y23" s="248"/>
      <c r="Z23" s="248"/>
      <c r="AA23" s="248"/>
      <c r="AB23" s="248"/>
      <c r="AC23" s="248"/>
    </row>
    <row r="24" spans="1:29" s="249" customFormat="1" ht="48" customHeight="1">
      <c r="A24" s="647"/>
      <c r="B24" s="264">
        <v>15</v>
      </c>
      <c r="C24" s="264">
        <v>1490</v>
      </c>
      <c r="D24" s="272"/>
      <c r="E24" s="637"/>
      <c r="F24" s="243">
        <v>15</v>
      </c>
      <c r="G24" s="244">
        <v>1490</v>
      </c>
      <c r="H24" s="273"/>
      <c r="I24" s="637"/>
      <c r="J24" s="243">
        <v>15</v>
      </c>
      <c r="K24" s="244">
        <v>1490</v>
      </c>
      <c r="L24" s="273"/>
      <c r="M24" s="637"/>
      <c r="N24" s="243">
        <v>15</v>
      </c>
      <c r="O24" s="244">
        <v>1490</v>
      </c>
      <c r="P24" s="273"/>
      <c r="Q24" s="637"/>
      <c r="R24" s="243">
        <v>15</v>
      </c>
      <c r="S24" s="244">
        <v>1490</v>
      </c>
      <c r="T24" s="273"/>
      <c r="U24" s="246"/>
      <c r="V24" s="246"/>
      <c r="W24" s="247"/>
      <c r="X24" s="248"/>
      <c r="Y24" s="248"/>
      <c r="Z24" s="248"/>
      <c r="AA24" s="248"/>
      <c r="AB24" s="248"/>
      <c r="AC24" s="248"/>
    </row>
    <row r="25" spans="1:29" s="249" customFormat="1" ht="48" customHeight="1">
      <c r="A25" s="647"/>
      <c r="B25" s="264">
        <v>16</v>
      </c>
      <c r="C25" s="264">
        <v>1490</v>
      </c>
      <c r="D25" s="272"/>
      <c r="E25" s="637"/>
      <c r="F25" s="244">
        <v>16</v>
      </c>
      <c r="G25" s="244">
        <v>1490</v>
      </c>
      <c r="H25" s="273"/>
      <c r="I25" s="637"/>
      <c r="J25" s="244">
        <v>16</v>
      </c>
      <c r="K25" s="244">
        <v>1490</v>
      </c>
      <c r="L25" s="273"/>
      <c r="M25" s="637"/>
      <c r="N25" s="244">
        <v>16</v>
      </c>
      <c r="O25" s="244">
        <v>1490</v>
      </c>
      <c r="P25" s="273"/>
      <c r="Q25" s="637"/>
      <c r="R25" s="244">
        <v>16</v>
      </c>
      <c r="S25" s="244">
        <v>1490</v>
      </c>
      <c r="T25" s="273"/>
      <c r="U25" s="246"/>
      <c r="V25" s="246"/>
      <c r="W25" s="247"/>
      <c r="X25" s="248"/>
      <c r="Y25" s="248"/>
      <c r="Z25" s="248"/>
      <c r="AA25" s="248"/>
      <c r="AB25" s="248"/>
      <c r="AC25" s="248"/>
    </row>
    <row r="26" spans="1:29" s="249" customFormat="1" ht="48" customHeight="1">
      <c r="A26" s="646" t="s">
        <v>499</v>
      </c>
      <c r="B26" s="264">
        <v>1</v>
      </c>
      <c r="C26" s="264">
        <v>1490</v>
      </c>
      <c r="D26" s="274" t="s">
        <v>504</v>
      </c>
      <c r="E26" s="636" t="s">
        <v>499</v>
      </c>
      <c r="F26" s="243">
        <v>1</v>
      </c>
      <c r="G26" s="243">
        <v>1490</v>
      </c>
      <c r="H26" s="274" t="s">
        <v>504</v>
      </c>
      <c r="I26" s="636" t="s">
        <v>499</v>
      </c>
      <c r="J26" s="243">
        <v>1</v>
      </c>
      <c r="K26" s="243">
        <v>1490</v>
      </c>
      <c r="L26" s="274" t="s">
        <v>504</v>
      </c>
      <c r="M26" s="636" t="s">
        <v>499</v>
      </c>
      <c r="N26" s="243">
        <v>1</v>
      </c>
      <c r="O26" s="243">
        <v>1490</v>
      </c>
      <c r="P26" s="274" t="s">
        <v>504</v>
      </c>
      <c r="Q26" s="636" t="s">
        <v>499</v>
      </c>
      <c r="R26" s="243">
        <v>1</v>
      </c>
      <c r="S26" s="243">
        <v>1490</v>
      </c>
      <c r="T26" s="274" t="s">
        <v>504</v>
      </c>
      <c r="U26" s="246"/>
      <c r="V26" s="246"/>
      <c r="W26" s="247"/>
      <c r="X26" s="248"/>
      <c r="Y26" s="248"/>
      <c r="Z26" s="248"/>
      <c r="AA26" s="248"/>
      <c r="AB26" s="248"/>
      <c r="AC26" s="248"/>
    </row>
    <row r="27" spans="1:29" s="249" customFormat="1" ht="48" customHeight="1">
      <c r="A27" s="647"/>
      <c r="B27" s="264">
        <v>2</v>
      </c>
      <c r="C27" s="264">
        <v>1490</v>
      </c>
      <c r="D27" s="274" t="s">
        <v>504</v>
      </c>
      <c r="E27" s="637"/>
      <c r="F27" s="243">
        <v>2</v>
      </c>
      <c r="G27" s="243">
        <v>1490</v>
      </c>
      <c r="H27" s="274" t="s">
        <v>504</v>
      </c>
      <c r="I27" s="637"/>
      <c r="J27" s="243">
        <v>2</v>
      </c>
      <c r="K27" s="243">
        <v>1490</v>
      </c>
      <c r="L27" s="274" t="s">
        <v>504</v>
      </c>
      <c r="M27" s="637"/>
      <c r="N27" s="243">
        <v>2</v>
      </c>
      <c r="O27" s="243">
        <v>1490</v>
      </c>
      <c r="P27" s="274" t="s">
        <v>504</v>
      </c>
      <c r="Q27" s="637"/>
      <c r="R27" s="243">
        <v>2</v>
      </c>
      <c r="S27" s="243">
        <v>1490</v>
      </c>
      <c r="T27" s="274" t="s">
        <v>504</v>
      </c>
      <c r="U27" s="246"/>
      <c r="V27" s="246"/>
      <c r="W27" s="247"/>
      <c r="X27" s="248"/>
      <c r="Y27" s="248"/>
      <c r="Z27" s="248"/>
      <c r="AA27" s="248"/>
      <c r="AB27" s="248"/>
      <c r="AC27" s="248"/>
    </row>
    <row r="28" spans="1:29" s="249" customFormat="1" ht="48" customHeight="1">
      <c r="A28" s="647"/>
      <c r="B28" s="264">
        <v>3</v>
      </c>
      <c r="C28" s="264">
        <v>1490</v>
      </c>
      <c r="D28" s="274" t="s">
        <v>504</v>
      </c>
      <c r="E28" s="637"/>
      <c r="F28" s="243">
        <v>3</v>
      </c>
      <c r="G28" s="243">
        <v>1490</v>
      </c>
      <c r="H28" s="274" t="s">
        <v>504</v>
      </c>
      <c r="I28" s="637"/>
      <c r="J28" s="243">
        <v>3</v>
      </c>
      <c r="K28" s="243">
        <v>1490</v>
      </c>
      <c r="L28" s="274" t="s">
        <v>504</v>
      </c>
      <c r="M28" s="637"/>
      <c r="N28" s="243">
        <v>3</v>
      </c>
      <c r="O28" s="243">
        <v>1490</v>
      </c>
      <c r="P28" s="274" t="s">
        <v>504</v>
      </c>
      <c r="Q28" s="637"/>
      <c r="R28" s="243">
        <v>3</v>
      </c>
      <c r="S28" s="243">
        <v>1490</v>
      </c>
      <c r="T28" s="274" t="s">
        <v>504</v>
      </c>
      <c r="U28" s="246"/>
      <c r="V28" s="246"/>
      <c r="W28" s="247"/>
      <c r="X28" s="248"/>
      <c r="Y28" s="248"/>
      <c r="Z28" s="248"/>
      <c r="AA28" s="248"/>
      <c r="AB28" s="248"/>
      <c r="AC28" s="248"/>
    </row>
    <row r="29" spans="1:29" s="249" customFormat="1" ht="48" customHeight="1">
      <c r="A29" s="647"/>
      <c r="B29" s="264">
        <v>4</v>
      </c>
      <c r="C29" s="264">
        <v>1490</v>
      </c>
      <c r="D29" s="274" t="s">
        <v>504</v>
      </c>
      <c r="E29" s="637"/>
      <c r="F29" s="243">
        <v>4</v>
      </c>
      <c r="G29" s="243">
        <v>1490</v>
      </c>
      <c r="H29" s="274" t="s">
        <v>504</v>
      </c>
      <c r="I29" s="637"/>
      <c r="J29" s="243">
        <v>4</v>
      </c>
      <c r="K29" s="243">
        <v>1490</v>
      </c>
      <c r="L29" s="274" t="s">
        <v>504</v>
      </c>
      <c r="M29" s="637"/>
      <c r="N29" s="243">
        <v>4</v>
      </c>
      <c r="O29" s="243">
        <v>1490</v>
      </c>
      <c r="P29" s="274" t="s">
        <v>504</v>
      </c>
      <c r="Q29" s="637"/>
      <c r="R29" s="243">
        <v>4</v>
      </c>
      <c r="S29" s="243">
        <v>1490</v>
      </c>
      <c r="T29" s="274" t="s">
        <v>504</v>
      </c>
      <c r="U29" s="246"/>
      <c r="V29" s="246"/>
      <c r="W29" s="247"/>
      <c r="X29" s="248"/>
      <c r="Y29" s="248"/>
      <c r="Z29" s="248"/>
      <c r="AA29" s="248"/>
      <c r="AB29" s="248"/>
      <c r="AC29" s="248"/>
    </row>
    <row r="30" spans="1:29" s="249" customFormat="1" ht="48" customHeight="1">
      <c r="A30" s="647"/>
      <c r="B30" s="264">
        <v>5</v>
      </c>
      <c r="C30" s="264">
        <v>1490</v>
      </c>
      <c r="D30" s="274" t="s">
        <v>504</v>
      </c>
      <c r="E30" s="637"/>
      <c r="F30" s="243">
        <v>5</v>
      </c>
      <c r="G30" s="243">
        <v>1490</v>
      </c>
      <c r="H30" s="274" t="s">
        <v>504</v>
      </c>
      <c r="I30" s="637"/>
      <c r="J30" s="243">
        <v>5</v>
      </c>
      <c r="K30" s="243">
        <v>1490</v>
      </c>
      <c r="L30" s="274" t="s">
        <v>504</v>
      </c>
      <c r="M30" s="637"/>
      <c r="N30" s="243">
        <v>5</v>
      </c>
      <c r="O30" s="243">
        <v>1490</v>
      </c>
      <c r="P30" s="274" t="s">
        <v>504</v>
      </c>
      <c r="Q30" s="637"/>
      <c r="R30" s="243">
        <v>5</v>
      </c>
      <c r="S30" s="243">
        <v>1490</v>
      </c>
      <c r="T30" s="274" t="s">
        <v>504</v>
      </c>
      <c r="U30" s="245"/>
      <c r="V30" s="246"/>
      <c r="W30" s="247"/>
      <c r="X30" s="248"/>
      <c r="Y30" s="248"/>
      <c r="Z30" s="248"/>
      <c r="AA30" s="248"/>
      <c r="AB30" s="248"/>
      <c r="AC30" s="248"/>
    </row>
    <row r="31" spans="1:29" s="249" customFormat="1" ht="48" customHeight="1">
      <c r="A31" s="647"/>
      <c r="B31" s="264">
        <v>6</v>
      </c>
      <c r="C31" s="264">
        <v>1490</v>
      </c>
      <c r="D31" s="274" t="s">
        <v>504</v>
      </c>
      <c r="E31" s="637"/>
      <c r="F31" s="243">
        <v>6</v>
      </c>
      <c r="G31" s="243">
        <v>1490</v>
      </c>
      <c r="H31" s="274" t="s">
        <v>504</v>
      </c>
      <c r="I31" s="637"/>
      <c r="J31" s="243">
        <v>6</v>
      </c>
      <c r="K31" s="243">
        <v>1490</v>
      </c>
      <c r="L31" s="274" t="s">
        <v>504</v>
      </c>
      <c r="M31" s="637"/>
      <c r="N31" s="243">
        <v>6</v>
      </c>
      <c r="O31" s="243">
        <v>1490</v>
      </c>
      <c r="P31" s="274" t="s">
        <v>504</v>
      </c>
      <c r="Q31" s="637"/>
      <c r="R31" s="243">
        <v>6</v>
      </c>
      <c r="S31" s="243">
        <v>1490</v>
      </c>
      <c r="T31" s="274" t="s">
        <v>504</v>
      </c>
      <c r="U31" s="246"/>
      <c r="V31" s="246"/>
      <c r="W31" s="247"/>
      <c r="X31" s="248"/>
      <c r="Y31" s="248"/>
      <c r="Z31" s="248"/>
      <c r="AA31" s="248"/>
      <c r="AB31" s="248"/>
      <c r="AC31" s="248"/>
    </row>
    <row r="32" spans="1:29" s="249" customFormat="1" ht="48" customHeight="1">
      <c r="A32" s="647"/>
      <c r="B32" s="264">
        <v>7</v>
      </c>
      <c r="C32" s="264">
        <v>1490</v>
      </c>
      <c r="D32" s="274" t="s">
        <v>504</v>
      </c>
      <c r="E32" s="637"/>
      <c r="F32" s="243">
        <v>7</v>
      </c>
      <c r="G32" s="243">
        <v>1490</v>
      </c>
      <c r="H32" s="274" t="s">
        <v>504</v>
      </c>
      <c r="I32" s="637"/>
      <c r="J32" s="243">
        <v>7</v>
      </c>
      <c r="K32" s="243">
        <v>1490</v>
      </c>
      <c r="L32" s="274" t="s">
        <v>504</v>
      </c>
      <c r="M32" s="637"/>
      <c r="N32" s="243">
        <v>7</v>
      </c>
      <c r="O32" s="243">
        <v>1490</v>
      </c>
      <c r="P32" s="274" t="s">
        <v>504</v>
      </c>
      <c r="Q32" s="637"/>
      <c r="R32" s="243">
        <v>7</v>
      </c>
      <c r="S32" s="243">
        <v>1490</v>
      </c>
      <c r="T32" s="274" t="s">
        <v>504</v>
      </c>
      <c r="U32" s="246"/>
      <c r="V32" s="246"/>
      <c r="W32" s="247"/>
      <c r="X32" s="248"/>
      <c r="Y32" s="248"/>
      <c r="Z32" s="248"/>
      <c r="AA32" s="248"/>
      <c r="AB32" s="248"/>
      <c r="AC32" s="248"/>
    </row>
    <row r="33" spans="1:29" s="249" customFormat="1" ht="48" customHeight="1">
      <c r="A33" s="647"/>
      <c r="B33" s="264">
        <v>8</v>
      </c>
      <c r="C33" s="264">
        <v>1490</v>
      </c>
      <c r="D33" s="274" t="s">
        <v>504</v>
      </c>
      <c r="E33" s="637"/>
      <c r="F33" s="243">
        <v>8</v>
      </c>
      <c r="G33" s="243">
        <v>1490</v>
      </c>
      <c r="H33" s="274" t="s">
        <v>504</v>
      </c>
      <c r="I33" s="637"/>
      <c r="J33" s="243">
        <v>8</v>
      </c>
      <c r="K33" s="243">
        <v>1490</v>
      </c>
      <c r="L33" s="274" t="s">
        <v>504</v>
      </c>
      <c r="M33" s="637"/>
      <c r="N33" s="243">
        <v>8</v>
      </c>
      <c r="O33" s="243">
        <v>1490</v>
      </c>
      <c r="P33" s="274" t="s">
        <v>504</v>
      </c>
      <c r="Q33" s="637"/>
      <c r="R33" s="243">
        <v>8</v>
      </c>
      <c r="S33" s="243">
        <v>1490</v>
      </c>
      <c r="T33" s="274" t="s">
        <v>504</v>
      </c>
      <c r="U33" s="246"/>
      <c r="V33" s="246"/>
      <c r="W33" s="247"/>
      <c r="X33" s="248"/>
      <c r="Y33" s="248"/>
      <c r="Z33" s="248"/>
      <c r="AA33" s="248"/>
      <c r="AB33" s="248"/>
      <c r="AC33" s="248"/>
    </row>
    <row r="34" spans="1:29" s="249" customFormat="1" ht="48" customHeight="1">
      <c r="A34" s="647"/>
      <c r="B34" s="264">
        <v>9</v>
      </c>
      <c r="C34" s="264">
        <v>1490</v>
      </c>
      <c r="D34" s="272"/>
      <c r="E34" s="637"/>
      <c r="F34" s="243">
        <v>9</v>
      </c>
      <c r="G34" s="243">
        <v>1490</v>
      </c>
      <c r="H34" s="275"/>
      <c r="I34" s="637"/>
      <c r="J34" s="243">
        <v>9</v>
      </c>
      <c r="K34" s="243">
        <v>1490</v>
      </c>
      <c r="L34" s="275"/>
      <c r="M34" s="637"/>
      <c r="N34" s="243">
        <v>9</v>
      </c>
      <c r="O34" s="243">
        <v>1490</v>
      </c>
      <c r="P34" s="269"/>
      <c r="Q34" s="637"/>
      <c r="R34" s="243">
        <v>9</v>
      </c>
      <c r="S34" s="243">
        <v>1490</v>
      </c>
      <c r="T34" s="269"/>
      <c r="U34" s="246"/>
      <c r="V34" s="246"/>
      <c r="W34" s="247"/>
      <c r="X34" s="248"/>
      <c r="Y34" s="248"/>
      <c r="Z34" s="248"/>
      <c r="AA34" s="248"/>
      <c r="AB34" s="248"/>
      <c r="AC34" s="248"/>
    </row>
    <row r="35" spans="1:29" s="249" customFormat="1" ht="48" customHeight="1">
      <c r="A35" s="647"/>
      <c r="B35" s="264">
        <v>10</v>
      </c>
      <c r="C35" s="264">
        <v>1490</v>
      </c>
      <c r="D35" s="272"/>
      <c r="E35" s="637"/>
      <c r="F35" s="243">
        <v>10</v>
      </c>
      <c r="G35" s="243">
        <v>1490</v>
      </c>
      <c r="H35" s="275"/>
      <c r="I35" s="637"/>
      <c r="J35" s="243">
        <v>10</v>
      </c>
      <c r="K35" s="243">
        <v>1490</v>
      </c>
      <c r="L35" s="275"/>
      <c r="M35" s="637"/>
      <c r="N35" s="243">
        <v>10</v>
      </c>
      <c r="O35" s="243">
        <v>1490</v>
      </c>
      <c r="P35" s="269"/>
      <c r="Q35" s="637"/>
      <c r="R35" s="243">
        <v>10</v>
      </c>
      <c r="S35" s="243">
        <v>1490</v>
      </c>
      <c r="T35" s="269"/>
      <c r="U35" s="246"/>
      <c r="V35" s="246"/>
      <c r="W35" s="247"/>
      <c r="X35" s="248"/>
      <c r="Y35" s="248"/>
      <c r="Z35" s="248"/>
      <c r="AA35" s="248"/>
      <c r="AB35" s="248"/>
      <c r="AC35" s="248"/>
    </row>
    <row r="36" spans="1:29" s="249" customFormat="1" ht="48" customHeight="1">
      <c r="A36" s="647"/>
      <c r="B36" s="264">
        <v>11</v>
      </c>
      <c r="C36" s="264">
        <v>1490</v>
      </c>
      <c r="D36" s="272"/>
      <c r="E36" s="637"/>
      <c r="F36" s="243">
        <v>11</v>
      </c>
      <c r="G36" s="243">
        <v>1490</v>
      </c>
      <c r="H36" s="275"/>
      <c r="I36" s="637"/>
      <c r="J36" s="243">
        <v>11</v>
      </c>
      <c r="K36" s="243">
        <v>1490</v>
      </c>
      <c r="L36" s="275"/>
      <c r="M36" s="637"/>
      <c r="N36" s="243">
        <v>11</v>
      </c>
      <c r="O36" s="243">
        <v>1490</v>
      </c>
      <c r="P36" s="269"/>
      <c r="Q36" s="637"/>
      <c r="R36" s="243">
        <v>11</v>
      </c>
      <c r="S36" s="243">
        <v>1490</v>
      </c>
      <c r="T36" s="269"/>
      <c r="U36" s="246"/>
      <c r="V36" s="246"/>
      <c r="W36" s="247"/>
      <c r="X36" s="248"/>
      <c r="Y36" s="248"/>
      <c r="Z36" s="248"/>
      <c r="AA36" s="248"/>
      <c r="AB36" s="248"/>
      <c r="AC36" s="248"/>
    </row>
    <row r="37" spans="1:29" s="249" customFormat="1" ht="48" customHeight="1">
      <c r="A37" s="647"/>
      <c r="B37" s="264">
        <v>12</v>
      </c>
      <c r="C37" s="264">
        <v>1490</v>
      </c>
      <c r="D37" s="272"/>
      <c r="E37" s="637"/>
      <c r="F37" s="243">
        <v>12</v>
      </c>
      <c r="G37" s="243">
        <v>1490</v>
      </c>
      <c r="H37" s="275"/>
      <c r="I37" s="637"/>
      <c r="J37" s="243">
        <v>12</v>
      </c>
      <c r="K37" s="243">
        <v>1490</v>
      </c>
      <c r="L37" s="275"/>
      <c r="M37" s="637"/>
      <c r="N37" s="243">
        <v>12</v>
      </c>
      <c r="O37" s="243">
        <v>1490</v>
      </c>
      <c r="P37" s="269"/>
      <c r="Q37" s="637"/>
      <c r="R37" s="243">
        <v>12</v>
      </c>
      <c r="S37" s="243">
        <v>1490</v>
      </c>
      <c r="T37" s="269"/>
      <c r="U37" s="246"/>
      <c r="V37" s="246"/>
      <c r="W37" s="247"/>
      <c r="X37" s="248"/>
      <c r="Y37" s="248"/>
      <c r="Z37" s="248"/>
      <c r="AA37" s="248"/>
      <c r="AB37" s="248"/>
      <c r="AC37" s="248"/>
    </row>
    <row r="38" spans="1:29" s="249" customFormat="1" ht="48" customHeight="1">
      <c r="A38" s="647"/>
      <c r="B38" s="264">
        <v>13</v>
      </c>
      <c r="C38" s="264">
        <v>1490</v>
      </c>
      <c r="D38" s="272"/>
      <c r="E38" s="637"/>
      <c r="F38" s="243">
        <v>13</v>
      </c>
      <c r="G38" s="243">
        <v>1490</v>
      </c>
      <c r="H38" s="275"/>
      <c r="I38" s="637"/>
      <c r="J38" s="243">
        <v>13</v>
      </c>
      <c r="K38" s="243">
        <v>1490</v>
      </c>
      <c r="L38" s="275"/>
      <c r="M38" s="637"/>
      <c r="N38" s="243">
        <v>13</v>
      </c>
      <c r="O38" s="243">
        <v>1490</v>
      </c>
      <c r="P38" s="269"/>
      <c r="Q38" s="637"/>
      <c r="R38" s="243">
        <v>13</v>
      </c>
      <c r="S38" s="243">
        <v>1490</v>
      </c>
      <c r="T38" s="269"/>
      <c r="U38" s="246"/>
      <c r="V38" s="246"/>
      <c r="W38" s="247"/>
      <c r="X38" s="248"/>
      <c r="Y38" s="248"/>
      <c r="Z38" s="248"/>
      <c r="AA38" s="248"/>
      <c r="AB38" s="248"/>
      <c r="AC38" s="248"/>
    </row>
    <row r="39" spans="1:29" s="249" customFormat="1" ht="48" customHeight="1">
      <c r="A39" s="647"/>
      <c r="B39" s="264">
        <v>14</v>
      </c>
      <c r="C39" s="264">
        <v>1490</v>
      </c>
      <c r="D39" s="272"/>
      <c r="E39" s="637"/>
      <c r="F39" s="243">
        <v>14</v>
      </c>
      <c r="G39" s="243">
        <v>1490</v>
      </c>
      <c r="H39" s="275"/>
      <c r="I39" s="637"/>
      <c r="J39" s="243">
        <v>14</v>
      </c>
      <c r="K39" s="243">
        <v>1490</v>
      </c>
      <c r="L39" s="275"/>
      <c r="M39" s="637"/>
      <c r="N39" s="243">
        <v>14</v>
      </c>
      <c r="O39" s="243">
        <v>1490</v>
      </c>
      <c r="P39" s="269"/>
      <c r="Q39" s="637"/>
      <c r="R39" s="243">
        <v>14</v>
      </c>
      <c r="S39" s="243">
        <v>1490</v>
      </c>
      <c r="T39" s="269"/>
      <c r="U39" s="246"/>
      <c r="V39" s="246"/>
      <c r="W39" s="247"/>
      <c r="X39" s="248"/>
      <c r="Y39" s="248"/>
      <c r="Z39" s="248"/>
      <c r="AA39" s="248"/>
      <c r="AB39" s="248"/>
      <c r="AC39" s="248"/>
    </row>
    <row r="40" spans="1:29" s="249" customFormat="1" ht="48" customHeight="1">
      <c r="A40" s="647"/>
      <c r="B40" s="264">
        <v>15</v>
      </c>
      <c r="C40" s="264">
        <v>1490</v>
      </c>
      <c r="D40" s="272"/>
      <c r="E40" s="637"/>
      <c r="F40" s="243">
        <v>15</v>
      </c>
      <c r="G40" s="243">
        <v>1490</v>
      </c>
      <c r="H40" s="275"/>
      <c r="I40" s="637"/>
      <c r="J40" s="243">
        <v>15</v>
      </c>
      <c r="K40" s="243">
        <v>1490</v>
      </c>
      <c r="L40" s="275"/>
      <c r="M40" s="637"/>
      <c r="N40" s="243">
        <v>15</v>
      </c>
      <c r="O40" s="243">
        <v>1490</v>
      </c>
      <c r="P40" s="269"/>
      <c r="Q40" s="637"/>
      <c r="R40" s="243">
        <v>15</v>
      </c>
      <c r="S40" s="243">
        <v>1490</v>
      </c>
      <c r="T40" s="269"/>
      <c r="U40" s="246"/>
      <c r="V40" s="246"/>
      <c r="W40" s="247"/>
      <c r="X40" s="248"/>
      <c r="Y40" s="248"/>
      <c r="Z40" s="248"/>
      <c r="AA40" s="248"/>
      <c r="AB40" s="248"/>
      <c r="AC40" s="248"/>
    </row>
    <row r="41" spans="1:29" s="249" customFormat="1" ht="48" customHeight="1">
      <c r="A41" s="647"/>
      <c r="B41" s="264">
        <v>16</v>
      </c>
      <c r="C41" s="264">
        <v>1490</v>
      </c>
      <c r="D41" s="272"/>
      <c r="E41" s="638"/>
      <c r="F41" s="265">
        <v>16</v>
      </c>
      <c r="G41" s="265">
        <v>1490</v>
      </c>
      <c r="H41" s="275"/>
      <c r="I41" s="638"/>
      <c r="J41" s="265">
        <v>16</v>
      </c>
      <c r="K41" s="265">
        <v>1490</v>
      </c>
      <c r="L41" s="275"/>
      <c r="M41" s="638"/>
      <c r="N41" s="265">
        <v>16</v>
      </c>
      <c r="O41" s="265">
        <v>1490</v>
      </c>
      <c r="P41" s="269"/>
      <c r="Q41" s="638"/>
      <c r="R41" s="265">
        <v>16</v>
      </c>
      <c r="S41" s="265">
        <v>1490</v>
      </c>
      <c r="T41" s="269"/>
      <c r="U41" s="246"/>
      <c r="V41" s="246"/>
      <c r="W41" s="247"/>
      <c r="X41" s="248"/>
      <c r="Y41" s="248"/>
      <c r="Z41" s="248"/>
      <c r="AA41" s="248"/>
      <c r="AB41" s="248"/>
      <c r="AC41" s="248"/>
    </row>
    <row r="42" spans="1:29" ht="31.5" customHeight="1">
      <c r="A42" s="639"/>
      <c r="B42" s="167"/>
      <c r="C42" s="167"/>
      <c r="D42" s="169"/>
      <c r="E42" s="639"/>
      <c r="F42" s="167"/>
      <c r="G42" s="167"/>
      <c r="H42" s="169"/>
      <c r="I42" s="639"/>
      <c r="J42" s="167"/>
      <c r="K42" s="167"/>
      <c r="L42" s="169"/>
      <c r="M42" s="639"/>
      <c r="N42" s="167"/>
      <c r="O42" s="167"/>
      <c r="P42" s="169"/>
      <c r="Q42" s="639"/>
      <c r="R42" s="167"/>
      <c r="S42" s="167"/>
      <c r="T42" s="169"/>
      <c r="U42" s="167"/>
      <c r="V42" s="168"/>
      <c r="W42" s="169"/>
      <c r="X42" s="166"/>
      <c r="Y42" s="166"/>
      <c r="Z42" s="166"/>
      <c r="AA42" s="166"/>
      <c r="AB42" s="166"/>
      <c r="AC42" s="166"/>
    </row>
    <row r="43" spans="1:29" ht="31.5" customHeight="1">
      <c r="A43" s="444"/>
      <c r="B43" s="167"/>
      <c r="C43" s="167"/>
      <c r="D43" s="169"/>
      <c r="E43" s="444"/>
      <c r="F43" s="167"/>
      <c r="G43" s="167"/>
      <c r="H43" s="169"/>
      <c r="I43" s="444"/>
      <c r="J43" s="167"/>
      <c r="K43" s="167"/>
      <c r="L43" s="169"/>
      <c r="M43" s="444"/>
      <c r="N43" s="167"/>
      <c r="O43" s="167"/>
      <c r="P43" s="169"/>
      <c r="Q43" s="444"/>
      <c r="R43" s="167"/>
      <c r="S43" s="167"/>
      <c r="T43" s="169"/>
      <c r="U43" s="168"/>
      <c r="V43" s="168"/>
      <c r="W43" s="169"/>
      <c r="X43" s="166"/>
      <c r="Y43" s="166"/>
      <c r="Z43" s="166"/>
      <c r="AA43" s="166"/>
      <c r="AB43" s="166"/>
      <c r="AC43" s="166"/>
    </row>
    <row r="44" spans="1:29" ht="31.5" customHeight="1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1"/>
      <c r="L44" s="170"/>
      <c r="M44" s="170"/>
      <c r="N44" s="170"/>
      <c r="O44" s="170"/>
      <c r="P44" s="170"/>
      <c r="Q44" s="170"/>
      <c r="R44" s="171"/>
      <c r="S44" s="170"/>
      <c r="T44" s="170"/>
      <c r="U44" s="170"/>
      <c r="V44" s="170"/>
      <c r="W44" s="171"/>
      <c r="X44" s="172"/>
      <c r="Y44" s="172"/>
      <c r="Z44" s="172"/>
      <c r="AA44" s="172"/>
      <c r="AB44" s="172"/>
      <c r="AC44" s="172"/>
    </row>
    <row r="45" spans="1:29" ht="12" customHeight="1">
      <c r="A45" s="172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</row>
    <row r="46" spans="1:29" ht="18" customHeight="1">
      <c r="A46" s="641"/>
      <c r="B46" s="444"/>
      <c r="C46" s="444"/>
      <c r="D46" s="444"/>
      <c r="E46" s="444"/>
      <c r="F46" s="444"/>
      <c r="G46" s="444"/>
      <c r="H46" s="444"/>
      <c r="I46" s="444"/>
      <c r="J46" s="444"/>
      <c r="K46" s="444"/>
      <c r="L46" s="444"/>
      <c r="M46" s="444"/>
      <c r="N46" s="444"/>
      <c r="O46" s="444"/>
      <c r="P46" s="444"/>
      <c r="Q46" s="444"/>
      <c r="R46" s="444"/>
      <c r="S46" s="444"/>
      <c r="T46" s="444"/>
      <c r="U46" s="444"/>
      <c r="V46" s="172"/>
      <c r="W46" s="172"/>
      <c r="X46" s="172"/>
      <c r="Y46" s="172"/>
      <c r="Z46" s="172"/>
      <c r="AA46" s="172"/>
      <c r="AB46" s="172"/>
      <c r="AC46" s="172"/>
    </row>
    <row r="47" spans="1:29" ht="20.25" customHeight="1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</row>
    <row r="48" spans="1:29" ht="39" customHeight="1">
      <c r="A48" s="173" t="s">
        <v>47</v>
      </c>
      <c r="B48" s="173"/>
      <c r="C48" s="173"/>
      <c r="D48" s="173"/>
      <c r="E48" s="174"/>
      <c r="F48" s="175"/>
      <c r="G48" s="175"/>
      <c r="H48" s="174"/>
      <c r="I48" s="174"/>
      <c r="J48" s="175"/>
      <c r="K48" s="174"/>
      <c r="L48" s="174"/>
      <c r="M48" s="174"/>
      <c r="N48" s="175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</row>
    <row r="49" spans="1:29" ht="39" customHeight="1">
      <c r="A49" s="173" t="s">
        <v>326</v>
      </c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 t="s">
        <v>49</v>
      </c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</row>
    <row r="50" spans="1:29" ht="33" customHeight="1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</row>
    <row r="51" spans="1:29" ht="30" customHeight="1">
      <c r="A51" s="640" t="str">
        <f>"Name: " &amp; 'support table'!$B$10</f>
        <v>Name: [REP_VENDOR]</v>
      </c>
      <c r="B51" s="458"/>
      <c r="C51" s="458"/>
      <c r="D51" s="458"/>
      <c r="E51" s="176"/>
      <c r="F51" s="177"/>
      <c r="G51" s="177"/>
      <c r="H51" s="178"/>
      <c r="I51" s="178"/>
      <c r="J51" s="173"/>
      <c r="K51" s="174"/>
      <c r="L51" s="174"/>
      <c r="M51" s="174"/>
      <c r="N51" s="173"/>
      <c r="O51" s="173"/>
      <c r="P51" s="640" t="str">
        <f>"Name: " &amp; 'support table'!$B$13</f>
        <v>Name: [REP_CUSTOMER]</v>
      </c>
      <c r="Q51" s="458"/>
      <c r="R51" s="458"/>
      <c r="S51" s="458"/>
      <c r="T51" s="179"/>
      <c r="U51" s="173"/>
      <c r="V51" s="173"/>
      <c r="W51" s="173"/>
      <c r="X51" s="173"/>
      <c r="Y51" s="173"/>
      <c r="Z51" s="173"/>
      <c r="AA51" s="173"/>
      <c r="AB51" s="173"/>
      <c r="AC51" s="173"/>
    </row>
    <row r="52" spans="1:29" ht="138" customHeight="1">
      <c r="A52" s="642" t="s">
        <v>52</v>
      </c>
      <c r="B52" s="444"/>
      <c r="C52" s="444"/>
      <c r="D52" s="444"/>
      <c r="E52" s="180"/>
      <c r="F52" s="181"/>
      <c r="G52" s="181"/>
      <c r="H52" s="180"/>
      <c r="I52" s="180"/>
      <c r="J52" s="182"/>
      <c r="K52" s="182"/>
      <c r="L52" s="182"/>
      <c r="M52" s="182"/>
      <c r="N52" s="182"/>
      <c r="O52" s="182"/>
      <c r="P52" s="180" t="s">
        <v>53</v>
      </c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</row>
    <row r="53" spans="1:29" ht="28.5" customHeight="1">
      <c r="A53" s="176"/>
      <c r="B53" s="176"/>
      <c r="C53" s="176"/>
      <c r="D53" s="176"/>
      <c r="E53" s="176"/>
      <c r="F53" s="177"/>
      <c r="G53" s="177"/>
      <c r="H53" s="178"/>
      <c r="I53" s="178"/>
      <c r="J53" s="178"/>
      <c r="K53" s="174"/>
      <c r="L53" s="174"/>
      <c r="M53" s="174"/>
      <c r="N53" s="174"/>
      <c r="O53" s="174"/>
      <c r="P53" s="174"/>
      <c r="Q53" s="183"/>
      <c r="R53" s="176"/>
      <c r="S53" s="183"/>
      <c r="T53" s="183"/>
      <c r="U53" s="174"/>
      <c r="V53" s="174"/>
      <c r="W53" s="174"/>
      <c r="X53" s="174"/>
      <c r="Y53" s="174"/>
      <c r="Z53" s="174"/>
      <c r="AA53" s="174"/>
      <c r="AB53" s="174"/>
      <c r="AC53" s="174"/>
    </row>
    <row r="54" spans="1:29" ht="43.5" customHeight="1">
      <c r="A54" s="640" t="s">
        <v>54</v>
      </c>
      <c r="B54" s="458"/>
      <c r="C54" s="458"/>
      <c r="D54" s="458"/>
      <c r="E54" s="176"/>
      <c r="F54" s="177"/>
      <c r="G54" s="177"/>
      <c r="H54" s="178"/>
      <c r="I54" s="178"/>
      <c r="J54" s="174"/>
      <c r="K54" s="174"/>
      <c r="L54" s="174"/>
      <c r="M54" s="174"/>
      <c r="N54" s="174"/>
      <c r="O54" s="174"/>
      <c r="P54" s="184" t="s">
        <v>54</v>
      </c>
      <c r="Q54" s="185"/>
      <c r="R54" s="185"/>
      <c r="S54" s="185"/>
      <c r="T54" s="185"/>
      <c r="U54" s="174"/>
      <c r="V54" s="174"/>
      <c r="W54" s="174"/>
      <c r="X54" s="174"/>
      <c r="Y54" s="174"/>
      <c r="Z54" s="174"/>
      <c r="AA54" s="174"/>
      <c r="AB54" s="174"/>
      <c r="AC54" s="174"/>
    </row>
    <row r="55" spans="1:29" ht="35.25" customHeight="1">
      <c r="A55" s="186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72"/>
      <c r="O55" s="186"/>
      <c r="P55" s="187" t="s">
        <v>371</v>
      </c>
      <c r="Q55" s="186"/>
      <c r="R55" s="172"/>
      <c r="S55" s="188"/>
      <c r="T55" s="188"/>
      <c r="U55" s="188"/>
      <c r="V55" s="186"/>
      <c r="W55" s="172"/>
      <c r="X55" s="172"/>
      <c r="Y55" s="172"/>
      <c r="Z55" s="172"/>
      <c r="AA55" s="172"/>
      <c r="AB55" s="172"/>
      <c r="AC55" s="172"/>
    </row>
    <row r="56" spans="1:29" ht="18" customHeight="1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</row>
    <row r="57" spans="1:29" ht="18" customHeight="1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</row>
    <row r="58" spans="1:29" ht="18" customHeight="1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</row>
    <row r="59" spans="1:29" ht="18" customHeight="1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</row>
    <row r="60" spans="1:29" ht="18" customHeight="1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</row>
    <row r="61" spans="1:29" ht="18" customHeight="1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</row>
    <row r="62" spans="1:29" ht="18" customHeight="1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</row>
    <row r="63" spans="1:29" ht="18" customHeight="1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</row>
    <row r="64" spans="1:29" ht="18" customHeight="1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</row>
    <row r="65" spans="1:29" ht="18" customHeight="1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</row>
    <row r="66" spans="1:29" ht="18" customHeight="1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</row>
    <row r="67" spans="1:29" ht="18" customHeight="1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</row>
    <row r="68" spans="1:29" ht="18" customHeight="1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</row>
    <row r="69" spans="1:29" ht="18" customHeight="1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</row>
    <row r="70" spans="1:29" ht="18" customHeight="1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</row>
    <row r="71" spans="1:29" ht="18" customHeight="1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</row>
    <row r="72" spans="1:29" ht="18" customHeight="1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</row>
    <row r="73" spans="1:29" ht="18" customHeight="1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</row>
    <row r="74" spans="1:29" ht="18" customHeight="1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</row>
    <row r="75" spans="1:29" ht="18" customHeight="1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</row>
    <row r="76" spans="1:29" ht="18" customHeight="1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</row>
    <row r="77" spans="1:29" ht="18" customHeight="1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</row>
    <row r="78" spans="1:29" ht="18" customHeight="1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</row>
    <row r="79" spans="1:29" ht="18" customHeight="1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</row>
    <row r="80" spans="1:29" ht="18" customHeight="1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</row>
    <row r="81" spans="1:29" ht="18" customHeight="1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</row>
    <row r="82" spans="1:29" ht="18" customHeight="1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</row>
    <row r="83" spans="1:29" ht="18" customHeight="1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</row>
    <row r="84" spans="1:29" ht="18" customHeight="1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</row>
    <row r="85" spans="1:29" ht="18" customHeight="1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</row>
    <row r="86" spans="1:29" ht="18" customHeight="1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</row>
    <row r="87" spans="1:29" ht="18" customHeight="1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</row>
    <row r="88" spans="1:29" ht="18" customHeight="1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</row>
    <row r="89" spans="1:29" ht="18" customHeight="1">
      <c r="A89" s="172"/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</row>
    <row r="90" spans="1:29" ht="18" customHeight="1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</row>
    <row r="91" spans="1:29" ht="18" customHeight="1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</row>
    <row r="92" spans="1:29" ht="18" customHeight="1">
      <c r="A92" s="172"/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</row>
    <row r="93" spans="1:29" ht="18" customHeight="1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</row>
    <row r="94" spans="1:29" ht="18" customHeight="1">
      <c r="A94" s="172"/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</row>
    <row r="95" spans="1:29" ht="18" customHeight="1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</row>
    <row r="96" spans="1:29" ht="18" customHeight="1">
      <c r="A96" s="172"/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</row>
    <row r="97" spans="1:29" ht="18" customHeight="1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</row>
    <row r="98" spans="1:29" ht="18" customHeight="1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</row>
    <row r="99" spans="1:29" ht="18" customHeight="1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</row>
    <row r="100" spans="1:29" ht="18" customHeight="1">
      <c r="A100" s="172"/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</row>
    <row r="101" spans="1:29" ht="18" customHeight="1">
      <c r="A101" s="172"/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</row>
    <row r="102" spans="1:29" ht="18" customHeight="1">
      <c r="A102" s="172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</row>
    <row r="103" spans="1:29" ht="18" customHeight="1">
      <c r="A103" s="172"/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</row>
    <row r="104" spans="1:29" ht="18" customHeight="1">
      <c r="A104" s="172"/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</row>
    <row r="105" spans="1:29" ht="18" customHeight="1">
      <c r="A105" s="172"/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</row>
    <row r="106" spans="1:29" ht="18" customHeight="1">
      <c r="A106" s="172"/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</row>
    <row r="107" spans="1:29" ht="18" customHeight="1">
      <c r="A107" s="172"/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</row>
    <row r="108" spans="1:29" ht="18" customHeight="1">
      <c r="A108" s="172"/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</row>
    <row r="109" spans="1:29" ht="18" customHeight="1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</row>
    <row r="110" spans="1:29" ht="18" customHeight="1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</row>
    <row r="111" spans="1:29" ht="18" customHeight="1">
      <c r="A111" s="172"/>
      <c r="B111" s="172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</row>
    <row r="112" spans="1:29" ht="18" customHeight="1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</row>
    <row r="113" spans="1:29" ht="18" customHeight="1">
      <c r="A113" s="172"/>
      <c r="B113" s="172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</row>
    <row r="114" spans="1:29" ht="18" customHeight="1">
      <c r="A114" s="172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</row>
    <row r="115" spans="1:29" ht="18" customHeight="1">
      <c r="A115" s="172"/>
      <c r="B115" s="172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</row>
    <row r="116" spans="1:29" ht="18" customHeight="1">
      <c r="A116" s="172"/>
      <c r="B116" s="172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</row>
    <row r="117" spans="1:29" ht="18" customHeight="1">
      <c r="A117" s="172"/>
      <c r="B117" s="172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</row>
    <row r="118" spans="1:29" ht="18" customHeight="1">
      <c r="A118" s="172"/>
      <c r="B118" s="172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</row>
    <row r="119" spans="1:29" ht="18" customHeight="1">
      <c r="A119" s="172"/>
      <c r="B119" s="172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</row>
    <row r="120" spans="1:29" ht="18" customHeight="1">
      <c r="A120" s="172"/>
      <c r="B120" s="172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</row>
    <row r="121" spans="1:29" ht="18" customHeight="1">
      <c r="A121" s="172"/>
      <c r="B121" s="172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</row>
    <row r="122" spans="1:29" ht="18" customHeight="1">
      <c r="A122" s="172"/>
      <c r="B122" s="172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</row>
    <row r="123" spans="1:29" ht="18" customHeight="1">
      <c r="A123" s="172"/>
      <c r="B123" s="172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</row>
    <row r="124" spans="1:29" ht="18" customHeight="1">
      <c r="A124" s="172"/>
      <c r="B124" s="172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</row>
    <row r="125" spans="1:29" ht="18" customHeight="1">
      <c r="A125" s="172"/>
      <c r="B125" s="172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</row>
    <row r="126" spans="1:29" ht="18" customHeight="1">
      <c r="A126" s="172"/>
      <c r="B126" s="172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</row>
    <row r="127" spans="1:29" ht="18" customHeight="1">
      <c r="A127" s="172"/>
      <c r="B127" s="172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</row>
    <row r="128" spans="1:29" ht="18" customHeight="1">
      <c r="A128" s="172"/>
      <c r="B128" s="172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</row>
    <row r="129" spans="1:29" ht="18" customHeight="1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</row>
    <row r="130" spans="1:29" ht="18" customHeight="1">
      <c r="A130" s="172"/>
      <c r="B130" s="172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</row>
    <row r="131" spans="1:29" ht="18" customHeight="1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</row>
    <row r="132" spans="1:29" ht="18" customHeight="1">
      <c r="A132" s="172"/>
      <c r="B132" s="172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</row>
    <row r="133" spans="1:29" ht="18" customHeight="1">
      <c r="A133" s="172"/>
      <c r="B133" s="172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</row>
    <row r="134" spans="1:29" ht="18" customHeight="1">
      <c r="A134" s="172"/>
      <c r="B134" s="172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</row>
    <row r="135" spans="1:29" ht="18" customHeight="1">
      <c r="A135" s="172"/>
      <c r="B135" s="172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</row>
    <row r="136" spans="1:29" ht="18" customHeight="1">
      <c r="A136" s="172"/>
      <c r="B136" s="172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</row>
    <row r="137" spans="1:29" ht="18" customHeight="1">
      <c r="A137" s="172"/>
      <c r="B137" s="172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</row>
    <row r="138" spans="1:29" ht="18" customHeight="1">
      <c r="A138" s="172"/>
      <c r="B138" s="172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</row>
    <row r="139" spans="1:29" ht="18" customHeight="1">
      <c r="A139" s="172"/>
      <c r="B139" s="172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</row>
    <row r="140" spans="1:29" ht="18" customHeight="1">
      <c r="A140" s="172"/>
      <c r="B140" s="172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</row>
    <row r="141" spans="1:29" ht="18" customHeight="1">
      <c r="A141" s="172"/>
      <c r="B141" s="172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</row>
    <row r="142" spans="1:29" ht="18" customHeight="1">
      <c r="A142" s="172"/>
      <c r="B142" s="172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</row>
    <row r="143" spans="1:29" ht="18" customHeight="1">
      <c r="A143" s="172"/>
      <c r="B143" s="172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</row>
    <row r="144" spans="1:29" ht="18" customHeight="1">
      <c r="A144" s="172"/>
      <c r="B144" s="172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</row>
    <row r="145" spans="1:29" ht="18" customHeight="1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</row>
    <row r="146" spans="1:29" ht="18" customHeight="1">
      <c r="A146" s="172"/>
      <c r="B146" s="172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</row>
    <row r="147" spans="1:29" ht="18" customHeight="1">
      <c r="A147" s="172"/>
      <c r="B147" s="172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</row>
    <row r="148" spans="1:29" ht="18" customHeight="1">
      <c r="A148" s="172"/>
      <c r="B148" s="172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</row>
    <row r="149" spans="1:29" ht="18" customHeight="1">
      <c r="A149" s="172"/>
      <c r="B149" s="172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</row>
    <row r="150" spans="1:29" ht="18" customHeight="1">
      <c r="A150" s="172"/>
      <c r="B150" s="172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</row>
    <row r="151" spans="1:29" ht="18" customHeight="1">
      <c r="A151" s="172"/>
      <c r="B151" s="172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</row>
    <row r="152" spans="1:29" ht="18" customHeight="1">
      <c r="A152" s="172"/>
      <c r="B152" s="172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</row>
    <row r="153" spans="1:29" ht="18" customHeight="1">
      <c r="A153" s="172"/>
      <c r="B153" s="172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</row>
    <row r="154" spans="1:29" ht="18" customHeight="1">
      <c r="A154" s="172"/>
      <c r="B154" s="172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  <c r="AA154" s="172"/>
      <c r="AB154" s="172"/>
      <c r="AC154" s="172"/>
    </row>
    <row r="155" spans="1:29" ht="18" customHeight="1">
      <c r="A155" s="172"/>
      <c r="B155" s="172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  <c r="AA155" s="172"/>
      <c r="AB155" s="172"/>
      <c r="AC155" s="172"/>
    </row>
    <row r="156" spans="1:29" ht="18" customHeight="1">
      <c r="A156" s="172"/>
      <c r="B156" s="172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  <c r="AA156" s="172"/>
      <c r="AB156" s="172"/>
      <c r="AC156" s="172"/>
    </row>
    <row r="157" spans="1:29" ht="18" customHeight="1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/>
    </row>
    <row r="158" spans="1:29" ht="18" customHeight="1">
      <c r="A158" s="172"/>
      <c r="B158" s="172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/>
    </row>
    <row r="159" spans="1:29" ht="18" customHeight="1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/>
    </row>
    <row r="160" spans="1:29" ht="18" customHeight="1">
      <c r="A160" s="172"/>
      <c r="B160" s="172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/>
    </row>
    <row r="161" spans="1:29" ht="18" customHeight="1">
      <c r="A161" s="172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/>
    </row>
    <row r="162" spans="1:29" ht="18" customHeight="1">
      <c r="A162" s="172"/>
      <c r="B162" s="172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/>
    </row>
    <row r="163" spans="1:29" ht="18" customHeight="1">
      <c r="A163" s="172"/>
      <c r="B163" s="172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</row>
    <row r="164" spans="1:29" ht="18" customHeight="1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</row>
    <row r="165" spans="1:29" ht="18" customHeight="1">
      <c r="A165" s="172"/>
      <c r="B165" s="172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</row>
    <row r="166" spans="1:29" ht="18" customHeight="1">
      <c r="A166" s="172"/>
      <c r="B166" s="172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/>
    </row>
    <row r="167" spans="1:29" ht="18" customHeight="1">
      <c r="A167" s="172"/>
      <c r="B167" s="172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/>
    </row>
    <row r="168" spans="1:29" ht="18" customHeight="1">
      <c r="A168" s="172"/>
      <c r="B168" s="172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/>
    </row>
    <row r="169" spans="1:29" ht="18" customHeight="1">
      <c r="A169" s="172"/>
      <c r="B169" s="172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/>
    </row>
    <row r="170" spans="1:29" ht="18" customHeight="1">
      <c r="A170" s="172"/>
      <c r="B170" s="172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</row>
    <row r="171" spans="1:29" ht="18" customHeight="1">
      <c r="A171" s="172"/>
      <c r="B171" s="172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/>
    </row>
    <row r="172" spans="1:29" ht="18" customHeight="1">
      <c r="A172" s="172"/>
      <c r="B172" s="172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</row>
    <row r="173" spans="1:29" ht="18" customHeight="1">
      <c r="A173" s="172"/>
      <c r="B173" s="172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/>
    </row>
    <row r="174" spans="1:29" ht="18" customHeight="1">
      <c r="A174" s="172"/>
      <c r="B174" s="172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/>
    </row>
    <row r="175" spans="1:29" ht="18" customHeight="1">
      <c r="A175" s="172"/>
      <c r="B175" s="172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  <c r="AA175" s="172"/>
      <c r="AB175" s="172"/>
      <c r="AC175" s="172"/>
    </row>
    <row r="176" spans="1:29" ht="18" customHeight="1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/>
    </row>
    <row r="177" spans="1:29" ht="18" customHeight="1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</row>
    <row r="178" spans="1:29" ht="18" customHeight="1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/>
    </row>
    <row r="179" spans="1:29" ht="18" customHeight="1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/>
    </row>
    <row r="180" spans="1:29" ht="18" customHeight="1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/>
    </row>
    <row r="181" spans="1:29" ht="18" customHeight="1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/>
    </row>
    <row r="182" spans="1:29" ht="18" customHeight="1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/>
    </row>
    <row r="183" spans="1:29" ht="18" customHeight="1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/>
    </row>
    <row r="184" spans="1:29" ht="18" customHeight="1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  <c r="AA184" s="172"/>
      <c r="AB184" s="172"/>
      <c r="AC184" s="172"/>
    </row>
    <row r="185" spans="1:29" ht="18" customHeight="1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/>
    </row>
    <row r="186" spans="1:29" ht="18" customHeight="1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  <c r="AA186" s="172"/>
      <c r="AB186" s="172"/>
      <c r="AC186" s="172"/>
    </row>
    <row r="187" spans="1:29" ht="18" customHeight="1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  <c r="AA187" s="172"/>
      <c r="AB187" s="172"/>
      <c r="AC187" s="172"/>
    </row>
    <row r="188" spans="1:29" ht="18" customHeight="1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  <c r="AA188" s="172"/>
      <c r="AB188" s="172"/>
      <c r="AC188" s="172"/>
    </row>
    <row r="189" spans="1:29" ht="18" customHeight="1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  <c r="AA189" s="172"/>
      <c r="AB189" s="172"/>
      <c r="AC189" s="172"/>
    </row>
    <row r="190" spans="1:29" ht="18" customHeight="1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2"/>
      <c r="AC190" s="172"/>
    </row>
    <row r="191" spans="1:29" ht="18" customHeight="1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2"/>
      <c r="AC191" s="172"/>
    </row>
    <row r="192" spans="1:29" ht="18" customHeight="1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/>
    </row>
    <row r="193" spans="1:29" ht="18" customHeight="1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  <c r="AA193" s="172"/>
      <c r="AB193" s="172"/>
      <c r="AC193" s="172"/>
    </row>
    <row r="194" spans="1:29" ht="18" customHeight="1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  <c r="AA194" s="172"/>
      <c r="AB194" s="172"/>
      <c r="AC194" s="172"/>
    </row>
    <row r="195" spans="1:29" ht="18" customHeight="1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  <c r="AA195" s="172"/>
      <c r="AB195" s="172"/>
      <c r="AC195" s="172"/>
    </row>
    <row r="196" spans="1:29" ht="18" customHeight="1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  <c r="AA196" s="172"/>
      <c r="AB196" s="172"/>
      <c r="AC196" s="172"/>
    </row>
    <row r="197" spans="1:29" ht="18" customHeight="1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  <c r="AA197" s="172"/>
      <c r="AB197" s="172"/>
      <c r="AC197" s="172"/>
    </row>
    <row r="198" spans="1:29" ht="18" customHeight="1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  <c r="AA198" s="172"/>
      <c r="AB198" s="172"/>
      <c r="AC198" s="172"/>
    </row>
    <row r="199" spans="1:29" ht="18" customHeight="1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2"/>
      <c r="AC199" s="172"/>
    </row>
    <row r="200" spans="1:29" ht="18" customHeight="1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  <c r="AA200" s="172"/>
      <c r="AB200" s="172"/>
      <c r="AC200" s="172"/>
    </row>
    <row r="201" spans="1:29" ht="18" customHeight="1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  <c r="AA201" s="172"/>
      <c r="AB201" s="172"/>
      <c r="AC201" s="172"/>
    </row>
    <row r="202" spans="1:29" ht="18" customHeight="1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  <c r="AA202" s="172"/>
      <c r="AB202" s="172"/>
      <c r="AC202" s="172"/>
    </row>
    <row r="203" spans="1:29" ht="18" customHeight="1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  <c r="AA203" s="172"/>
      <c r="AB203" s="172"/>
      <c r="AC203" s="172"/>
    </row>
    <row r="204" spans="1:29" ht="18" customHeight="1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  <c r="AA204" s="172"/>
      <c r="AB204" s="172"/>
      <c r="AC204" s="172"/>
    </row>
    <row r="205" spans="1:29" ht="18" customHeight="1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2"/>
      <c r="AC205" s="172"/>
    </row>
    <row r="206" spans="1:29" ht="18" customHeight="1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  <c r="AA206" s="172"/>
      <c r="AB206" s="172"/>
      <c r="AC206" s="172"/>
    </row>
    <row r="207" spans="1:29" ht="18" customHeight="1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2"/>
      <c r="AC207" s="172"/>
    </row>
    <row r="208" spans="1:29" ht="18" customHeight="1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/>
    </row>
    <row r="209" spans="1:29" ht="18" customHeight="1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  <c r="AA209" s="172"/>
      <c r="AB209" s="172"/>
      <c r="AC209" s="172"/>
    </row>
    <row r="210" spans="1:29" ht="18" customHeight="1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  <c r="AA210" s="172"/>
      <c r="AB210" s="172"/>
      <c r="AC210" s="172"/>
    </row>
    <row r="211" spans="1:29" ht="18" customHeight="1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  <c r="AA211" s="172"/>
      <c r="AB211" s="172"/>
      <c r="AC211" s="172"/>
    </row>
    <row r="212" spans="1:29" ht="18" customHeight="1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  <c r="AA212" s="172"/>
      <c r="AB212" s="172"/>
      <c r="AC212" s="172"/>
    </row>
    <row r="213" spans="1:29" ht="18" customHeight="1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  <c r="AA213" s="172"/>
      <c r="AB213" s="172"/>
      <c r="AC213" s="172"/>
    </row>
    <row r="214" spans="1:29" ht="18" customHeight="1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  <c r="AA214" s="172"/>
      <c r="AB214" s="172"/>
      <c r="AC214" s="172"/>
    </row>
    <row r="215" spans="1:29" ht="18" customHeight="1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  <c r="AA215" s="172"/>
      <c r="AB215" s="172"/>
      <c r="AC215" s="172"/>
    </row>
    <row r="216" spans="1:29" ht="18" customHeight="1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  <c r="AA216" s="172"/>
      <c r="AB216" s="172"/>
      <c r="AC216" s="172"/>
    </row>
    <row r="217" spans="1:29" ht="18" customHeight="1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  <c r="AA217" s="172"/>
      <c r="AB217" s="172"/>
      <c r="AC217" s="172"/>
    </row>
    <row r="218" spans="1:29" ht="18" customHeight="1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2"/>
      <c r="AC218" s="172"/>
    </row>
    <row r="219" spans="1:29" ht="18" customHeight="1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  <c r="AA219" s="172"/>
      <c r="AB219" s="172"/>
      <c r="AC219" s="172"/>
    </row>
    <row r="220" spans="1:29" ht="18" customHeight="1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  <c r="AA220" s="172"/>
      <c r="AB220" s="172"/>
      <c r="AC220" s="172"/>
    </row>
    <row r="221" spans="1:29" ht="18" customHeight="1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  <c r="AA221" s="172"/>
      <c r="AB221" s="172"/>
      <c r="AC221" s="172"/>
    </row>
    <row r="222" spans="1:29" ht="18" customHeight="1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  <c r="AA222" s="172"/>
      <c r="AB222" s="172"/>
      <c r="AC222" s="172"/>
    </row>
    <row r="223" spans="1:29" ht="18" customHeight="1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  <c r="AA223" s="172"/>
      <c r="AB223" s="172"/>
      <c r="AC223" s="172"/>
    </row>
    <row r="224" spans="1:29" ht="18" customHeight="1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  <c r="AA224" s="172"/>
      <c r="AB224" s="172"/>
      <c r="AC224" s="172"/>
    </row>
    <row r="225" spans="1:29" ht="18" customHeight="1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  <c r="AA225" s="172"/>
      <c r="AB225" s="172"/>
      <c r="AC225" s="172"/>
    </row>
    <row r="226" spans="1:29" ht="18" customHeight="1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  <c r="AA226" s="172"/>
      <c r="AB226" s="172"/>
      <c r="AC226" s="172"/>
    </row>
    <row r="227" spans="1:29" ht="18" customHeight="1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  <c r="AA227" s="172"/>
      <c r="AB227" s="172"/>
      <c r="AC227" s="172"/>
    </row>
    <row r="228" spans="1:29" ht="18" customHeight="1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  <c r="AA228" s="172"/>
      <c r="AB228" s="172"/>
      <c r="AC228" s="172"/>
    </row>
    <row r="229" spans="1:29" ht="18" customHeight="1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  <c r="AA229" s="172"/>
      <c r="AB229" s="172"/>
      <c r="AC229" s="172"/>
    </row>
    <row r="230" spans="1:29" ht="18" customHeight="1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/>
    </row>
    <row r="231" spans="1:29" ht="18" customHeight="1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  <c r="AA231" s="172"/>
      <c r="AB231" s="172"/>
      <c r="AC231" s="172"/>
    </row>
    <row r="232" spans="1:29" ht="18" customHeight="1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  <c r="AA232" s="172"/>
      <c r="AB232" s="172"/>
      <c r="AC232" s="172"/>
    </row>
    <row r="233" spans="1:29" ht="18" customHeight="1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  <c r="AA233" s="172"/>
      <c r="AB233" s="172"/>
      <c r="AC233" s="172"/>
    </row>
    <row r="234" spans="1:29" ht="18" customHeight="1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  <c r="AA234" s="172"/>
      <c r="AB234" s="172"/>
      <c r="AC234" s="172"/>
    </row>
    <row r="235" spans="1:29" ht="18" customHeight="1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  <c r="AA235" s="172"/>
      <c r="AB235" s="172"/>
      <c r="AC235" s="172"/>
    </row>
    <row r="236" spans="1:29" ht="18" customHeight="1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  <c r="AA236" s="172"/>
      <c r="AB236" s="172"/>
      <c r="AC236" s="172"/>
    </row>
    <row r="237" spans="1:29" ht="18" customHeight="1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  <c r="AA237" s="172"/>
      <c r="AB237" s="172"/>
      <c r="AC237" s="172"/>
    </row>
    <row r="238" spans="1:29" ht="18" customHeight="1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  <c r="AA238" s="172"/>
      <c r="AB238" s="172"/>
      <c r="AC238" s="172"/>
    </row>
    <row r="239" spans="1:29" ht="18" customHeight="1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  <c r="AA239" s="172"/>
      <c r="AB239" s="172"/>
      <c r="AC239" s="172"/>
    </row>
    <row r="240" spans="1:29" ht="18" customHeight="1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  <c r="AA240" s="172"/>
      <c r="AB240" s="172"/>
      <c r="AC240" s="172"/>
    </row>
    <row r="241" spans="1:29" ht="18" customHeight="1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  <c r="AA241" s="172"/>
      <c r="AB241" s="172"/>
      <c r="AC241" s="172"/>
    </row>
    <row r="242" spans="1:29" ht="18" customHeight="1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  <c r="AA242" s="172"/>
      <c r="AB242" s="172"/>
      <c r="AC242" s="172"/>
    </row>
    <row r="243" spans="1:29" ht="18" customHeight="1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2"/>
      <c r="AC243" s="172"/>
    </row>
    <row r="244" spans="1:29" ht="18" customHeight="1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  <c r="AA244" s="172"/>
      <c r="AB244" s="172"/>
      <c r="AC244" s="172"/>
    </row>
    <row r="245" spans="1:29" ht="18" customHeight="1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  <c r="AA245" s="172"/>
      <c r="AB245" s="172"/>
      <c r="AC245" s="172"/>
    </row>
    <row r="246" spans="1:29" ht="18" customHeight="1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  <c r="AA246" s="172"/>
      <c r="AB246" s="172"/>
      <c r="AC246" s="172"/>
    </row>
    <row r="247" spans="1:29" ht="18" customHeight="1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  <c r="AA247" s="172"/>
      <c r="AB247" s="172"/>
      <c r="AC247" s="172"/>
    </row>
    <row r="248" spans="1:29" ht="18" customHeight="1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  <c r="AA248" s="172"/>
      <c r="AB248" s="172"/>
      <c r="AC248" s="172"/>
    </row>
    <row r="249" spans="1:29" ht="18" customHeight="1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  <c r="AA249" s="172"/>
      <c r="AB249" s="172"/>
      <c r="AC249" s="172"/>
    </row>
    <row r="250" spans="1:29" ht="18" customHeight="1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  <c r="AA250" s="172"/>
      <c r="AB250" s="172"/>
      <c r="AC250" s="172"/>
    </row>
    <row r="251" spans="1:29" ht="18" customHeight="1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  <c r="AA251" s="172"/>
      <c r="AB251" s="172"/>
      <c r="AC251" s="172"/>
    </row>
    <row r="252" spans="1:29" ht="18" customHeight="1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/>
    </row>
    <row r="253" spans="1:29" ht="18" customHeight="1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  <c r="AA253" s="172"/>
      <c r="AB253" s="172"/>
      <c r="AC253" s="172"/>
    </row>
    <row r="254" spans="1:29" ht="18" customHeight="1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  <c r="AA254" s="172"/>
      <c r="AB254" s="172"/>
      <c r="AC254" s="172"/>
    </row>
    <row r="255" spans="1:29" ht="18" customHeight="1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  <c r="AA255" s="172"/>
      <c r="AB255" s="172"/>
      <c r="AC255" s="172"/>
    </row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T8:T9"/>
    <mergeCell ref="C8:C9"/>
    <mergeCell ref="B4:C4"/>
    <mergeCell ref="B5:C5"/>
    <mergeCell ref="O8:O9"/>
    <mergeCell ref="P8:P9"/>
    <mergeCell ref="K8:K9"/>
    <mergeCell ref="L8:L9"/>
    <mergeCell ref="P5:R5"/>
    <mergeCell ref="A1:T1"/>
    <mergeCell ref="A2:T2"/>
    <mergeCell ref="A7:D7"/>
    <mergeCell ref="A8:A9"/>
    <mergeCell ref="B8:B9"/>
    <mergeCell ref="D8:D9"/>
    <mergeCell ref="G8:G9"/>
    <mergeCell ref="H8:H9"/>
    <mergeCell ref="I8:I9"/>
    <mergeCell ref="J8:J9"/>
    <mergeCell ref="M8:M9"/>
    <mergeCell ref="N8:N9"/>
    <mergeCell ref="Q8:Q9"/>
    <mergeCell ref="R8:R9"/>
    <mergeCell ref="I4:L4"/>
    <mergeCell ref="S8:S9"/>
    <mergeCell ref="A52:D52"/>
    <mergeCell ref="A54:D54"/>
    <mergeCell ref="E8:E9"/>
    <mergeCell ref="F8:F9"/>
    <mergeCell ref="A10:A25"/>
    <mergeCell ref="E10:E25"/>
    <mergeCell ref="A26:A41"/>
    <mergeCell ref="E26:E41"/>
    <mergeCell ref="A42:A43"/>
    <mergeCell ref="Q10:Q25"/>
    <mergeCell ref="Q26:Q41"/>
    <mergeCell ref="Q42:Q43"/>
    <mergeCell ref="P51:S51"/>
    <mergeCell ref="E42:E43"/>
    <mergeCell ref="A46:U46"/>
    <mergeCell ref="M10:M25"/>
    <mergeCell ref="M26:M41"/>
    <mergeCell ref="M42:M43"/>
    <mergeCell ref="A51:D51"/>
    <mergeCell ref="I10:I25"/>
    <mergeCell ref="I26:I41"/>
    <mergeCell ref="I42:I43"/>
  </mergeCells>
  <phoneticPr fontId="78" type="noConversion"/>
  <pageMargins left="0.7" right="0.7" top="0.75" bottom="0.75" header="0" footer="0"/>
  <pageSetup scale="2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D374-DD2B-4303-9670-D9DB68D4F564}">
  <sheetPr codeName="Sheet32">
    <tabColor rgb="FF00FF00"/>
    <pageSetUpPr fitToPage="1"/>
  </sheetPr>
  <dimension ref="A1:Y1000"/>
  <sheetViews>
    <sheetView showGridLines="0" topLeftCell="A64" zoomScale="85" workbookViewId="0">
      <selection activeCell="N6" sqref="N6"/>
    </sheetView>
  </sheetViews>
  <sheetFormatPr defaultColWidth="12.7109375" defaultRowHeight="15" customHeight="1"/>
  <cols>
    <col min="1" max="1" width="6.7109375" style="279" customWidth="1"/>
    <col min="2" max="2" width="11.7109375" style="279" customWidth="1"/>
    <col min="3" max="3" width="5" style="279" customWidth="1"/>
    <col min="4" max="4" width="11.7109375" style="279" customWidth="1"/>
    <col min="5" max="5" width="13.140625" style="279" customWidth="1"/>
    <col min="6" max="6" width="14.140625" style="279" customWidth="1"/>
    <col min="7" max="8" width="13.42578125" style="279" customWidth="1"/>
    <col min="9" max="9" width="11.7109375" style="279" customWidth="1"/>
    <col min="10" max="10" width="12.28515625" style="279" customWidth="1"/>
    <col min="11" max="11" width="13" style="279" customWidth="1"/>
    <col min="12" max="13" width="11.7109375" style="279" customWidth="1"/>
    <col min="14" max="14" width="13.85546875" style="279" customWidth="1"/>
    <col min="15" max="16" width="12.85546875" style="279" customWidth="1"/>
    <col min="17" max="20" width="9" style="279" customWidth="1"/>
    <col min="21" max="25" width="7" style="279" customWidth="1"/>
    <col min="26" max="16384" width="12.7109375" style="279"/>
  </cols>
  <sheetData>
    <row r="1" spans="1:25" ht="12.75" customHeight="1">
      <c r="A1" s="662" t="s">
        <v>432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</row>
    <row r="2" spans="1:25" ht="21.7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</row>
    <row r="3" spans="1:25" ht="33.75" customHeight="1" thickBot="1">
      <c r="A3" s="616"/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</row>
    <row r="4" spans="1:25" ht="22.5" customHeight="1" thickTop="1">
      <c r="A4" s="353"/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P4" s="353"/>
    </row>
    <row r="5" spans="1:25" ht="19.5" customHeight="1">
      <c r="A5" s="294" t="s">
        <v>433</v>
      </c>
      <c r="D5" s="349" t="s">
        <v>317</v>
      </c>
      <c r="E5" s="328" t="str">
        <f>'support table'!$B$1</f>
        <v>[NAMA_PROYEK]</v>
      </c>
      <c r="F5" s="330"/>
      <c r="G5" s="335"/>
      <c r="M5" s="294" t="s">
        <v>434</v>
      </c>
      <c r="N5" s="352" t="str">
        <f xml:space="preserve"> 'support table'!$B$15</f>
        <v>[TANGGAL_TEST]</v>
      </c>
      <c r="O5" s="330"/>
      <c r="P5" s="335"/>
    </row>
    <row r="6" spans="1:25" ht="19.5" customHeight="1">
      <c r="A6" s="294" t="s">
        <v>435</v>
      </c>
      <c r="D6" s="349" t="s">
        <v>317</v>
      </c>
      <c r="E6" s="351" t="str">
        <f>'support table'!$B$2</f>
        <v>[REGION]</v>
      </c>
      <c r="F6" s="330"/>
      <c r="G6" s="335"/>
      <c r="M6" s="294" t="s">
        <v>436</v>
      </c>
      <c r="N6" s="350" t="str">
        <f>'support table'!$B$6</f>
        <v>[NAMA_OLT]</v>
      </c>
      <c r="O6" s="330"/>
      <c r="P6" s="335"/>
    </row>
    <row r="7" spans="1:25" ht="19.5" customHeight="1">
      <c r="A7" s="294" t="s">
        <v>437</v>
      </c>
      <c r="D7" s="349" t="s">
        <v>317</v>
      </c>
      <c r="E7" s="348" t="str">
        <f>'support table'!$B$3</f>
        <v>[NAMA_LOKASI]</v>
      </c>
      <c r="F7" s="330"/>
      <c r="G7" s="335"/>
      <c r="M7" s="294" t="s">
        <v>438</v>
      </c>
      <c r="N7" s="347" t="str">
        <f xml:space="preserve"> 'support table'!$B$7</f>
        <v>[ID_FDT_FROM]</v>
      </c>
      <c r="O7" s="330"/>
      <c r="P7" s="335"/>
    </row>
    <row r="8" spans="1:25" ht="15.75" customHeight="1">
      <c r="A8" s="294"/>
      <c r="E8" s="333"/>
      <c r="N8" s="294"/>
      <c r="O8" s="346"/>
    </row>
    <row r="9" spans="1:25" ht="20.25" customHeight="1">
      <c r="A9" s="337"/>
      <c r="B9" s="338"/>
      <c r="C9" s="338"/>
      <c r="D9" s="338"/>
      <c r="E9" s="338"/>
      <c r="F9" s="337"/>
      <c r="G9" s="337"/>
      <c r="H9" s="337"/>
      <c r="I9" s="338"/>
      <c r="J9" s="337"/>
      <c r="K9" s="338"/>
      <c r="L9" s="337"/>
      <c r="M9" s="337"/>
      <c r="N9" s="338"/>
      <c r="O9" s="287"/>
      <c r="P9" s="337"/>
      <c r="Q9" s="287"/>
      <c r="R9" s="287"/>
      <c r="S9" s="287"/>
      <c r="T9" s="287"/>
      <c r="U9" s="287"/>
      <c r="V9" s="287"/>
      <c r="W9" s="287"/>
      <c r="X9" s="287"/>
      <c r="Y9" s="287"/>
    </row>
    <row r="10" spans="1:25" ht="12.75" customHeight="1">
      <c r="A10" s="663" t="s">
        <v>439</v>
      </c>
      <c r="B10" s="626"/>
      <c r="C10" s="663" t="s">
        <v>440</v>
      </c>
      <c r="D10" s="626"/>
      <c r="E10" s="654" t="s">
        <v>441</v>
      </c>
      <c r="F10" s="664" t="s">
        <v>442</v>
      </c>
      <c r="G10" s="665" t="s">
        <v>443</v>
      </c>
      <c r="H10" s="626"/>
      <c r="I10" s="663" t="s">
        <v>439</v>
      </c>
      <c r="J10" s="626"/>
      <c r="K10" s="663" t="s">
        <v>440</v>
      </c>
      <c r="L10" s="626"/>
      <c r="M10" s="654" t="s">
        <v>441</v>
      </c>
      <c r="N10" s="664" t="s">
        <v>442</v>
      </c>
      <c r="O10" s="665" t="s">
        <v>443</v>
      </c>
      <c r="P10" s="626"/>
      <c r="Q10" s="287"/>
      <c r="R10" s="287"/>
      <c r="S10" s="287"/>
      <c r="T10" s="287"/>
      <c r="U10" s="287"/>
      <c r="V10" s="287"/>
      <c r="W10" s="287"/>
      <c r="X10" s="287"/>
      <c r="Y10" s="287"/>
    </row>
    <row r="11" spans="1:25" ht="12.75" customHeight="1">
      <c r="A11" s="340" t="s">
        <v>336</v>
      </c>
      <c r="B11" s="340" t="s">
        <v>444</v>
      </c>
      <c r="C11" s="340" t="s">
        <v>336</v>
      </c>
      <c r="D11" s="340" t="s">
        <v>444</v>
      </c>
      <c r="E11" s="604"/>
      <c r="F11" s="604"/>
      <c r="G11" s="339" t="s">
        <v>445</v>
      </c>
      <c r="H11" s="339" t="s">
        <v>446</v>
      </c>
      <c r="I11" s="340" t="s">
        <v>336</v>
      </c>
      <c r="J11" s="340" t="s">
        <v>444</v>
      </c>
      <c r="K11" s="340" t="s">
        <v>336</v>
      </c>
      <c r="L11" s="340" t="s">
        <v>444</v>
      </c>
      <c r="M11" s="604"/>
      <c r="N11" s="604"/>
      <c r="O11" s="339" t="s">
        <v>445</v>
      </c>
      <c r="P11" s="339" t="s">
        <v>446</v>
      </c>
      <c r="Q11" s="287"/>
      <c r="R11" s="287"/>
      <c r="S11" s="287"/>
      <c r="T11" s="287"/>
      <c r="U11" s="287"/>
      <c r="V11" s="287"/>
      <c r="W11" s="287"/>
      <c r="X11" s="287"/>
      <c r="Y11" s="287"/>
    </row>
    <row r="12" spans="1:25" ht="15.75" customHeight="1">
      <c r="A12" s="654">
        <v>1</v>
      </c>
      <c r="B12" s="656" t="s">
        <v>447</v>
      </c>
      <c r="C12" s="340">
        <v>1</v>
      </c>
      <c r="D12" s="340" t="s">
        <v>448</v>
      </c>
      <c r="E12" s="657" t="s">
        <v>499</v>
      </c>
      <c r="F12" s="343" t="s">
        <v>505</v>
      </c>
      <c r="G12" s="343" t="s">
        <v>506</v>
      </c>
      <c r="H12" s="344"/>
      <c r="I12" s="654">
        <v>5</v>
      </c>
      <c r="J12" s="656" t="s">
        <v>449</v>
      </c>
      <c r="K12" s="340">
        <v>1</v>
      </c>
      <c r="L12" s="340" t="s">
        <v>448</v>
      </c>
      <c r="M12" s="657" t="s">
        <v>499</v>
      </c>
      <c r="N12" s="343" t="s">
        <v>505</v>
      </c>
      <c r="O12" s="343" t="s">
        <v>506</v>
      </c>
      <c r="P12" s="344"/>
      <c r="Q12" s="287"/>
      <c r="R12" s="287"/>
      <c r="S12" s="287"/>
      <c r="T12" s="287"/>
      <c r="U12" s="287"/>
      <c r="V12" s="287"/>
      <c r="W12" s="287"/>
      <c r="X12" s="287"/>
      <c r="Y12" s="287"/>
    </row>
    <row r="13" spans="1:25" ht="15.75" customHeight="1">
      <c r="A13" s="655"/>
      <c r="B13" s="655"/>
      <c r="C13" s="340">
        <v>2</v>
      </c>
      <c r="D13" s="340" t="s">
        <v>450</v>
      </c>
      <c r="E13" s="657"/>
      <c r="F13" s="343"/>
      <c r="G13" s="345"/>
      <c r="H13" s="343" t="s">
        <v>507</v>
      </c>
      <c r="I13" s="655"/>
      <c r="J13" s="655"/>
      <c r="K13" s="340">
        <v>2</v>
      </c>
      <c r="L13" s="340" t="s">
        <v>450</v>
      </c>
      <c r="M13" s="657"/>
      <c r="N13" s="343"/>
      <c r="O13" s="345"/>
      <c r="P13" s="343" t="s">
        <v>507</v>
      </c>
      <c r="Q13" s="287"/>
      <c r="R13" s="287"/>
      <c r="S13" s="287"/>
      <c r="T13" s="287"/>
      <c r="U13" s="287"/>
      <c r="V13" s="287"/>
      <c r="W13" s="287"/>
      <c r="X13" s="287"/>
      <c r="Y13" s="287"/>
    </row>
    <row r="14" spans="1:25" ht="15.75" customHeight="1">
      <c r="A14" s="655"/>
      <c r="B14" s="655"/>
      <c r="C14" s="340">
        <v>3</v>
      </c>
      <c r="D14" s="340" t="s">
        <v>451</v>
      </c>
      <c r="E14" s="657" t="s">
        <v>499</v>
      </c>
      <c r="F14" s="343" t="s">
        <v>505</v>
      </c>
      <c r="G14" s="343" t="s">
        <v>506</v>
      </c>
      <c r="H14" s="344"/>
      <c r="I14" s="655"/>
      <c r="J14" s="655"/>
      <c r="K14" s="340">
        <v>3</v>
      </c>
      <c r="L14" s="340" t="s">
        <v>451</v>
      </c>
      <c r="M14" s="657" t="s">
        <v>499</v>
      </c>
      <c r="N14" s="343" t="s">
        <v>505</v>
      </c>
      <c r="O14" s="343" t="s">
        <v>506</v>
      </c>
      <c r="P14" s="344"/>
      <c r="Q14" s="287"/>
      <c r="R14" s="287"/>
      <c r="S14" s="287"/>
      <c r="T14" s="287"/>
      <c r="U14" s="287"/>
      <c r="V14" s="287"/>
      <c r="W14" s="287"/>
      <c r="X14" s="287"/>
      <c r="Y14" s="287"/>
    </row>
    <row r="15" spans="1:25" ht="15.75" customHeight="1">
      <c r="A15" s="655"/>
      <c r="B15" s="655"/>
      <c r="C15" s="340">
        <v>4</v>
      </c>
      <c r="D15" s="340" t="s">
        <v>452</v>
      </c>
      <c r="E15" s="657"/>
      <c r="F15" s="343"/>
      <c r="G15" s="345"/>
      <c r="H15" s="343" t="s">
        <v>507</v>
      </c>
      <c r="I15" s="655"/>
      <c r="J15" s="655"/>
      <c r="K15" s="340">
        <v>4</v>
      </c>
      <c r="L15" s="340" t="s">
        <v>452</v>
      </c>
      <c r="M15" s="657"/>
      <c r="N15" s="343"/>
      <c r="O15" s="345"/>
      <c r="P15" s="343" t="s">
        <v>507</v>
      </c>
      <c r="Q15" s="287"/>
      <c r="R15" s="287"/>
      <c r="S15" s="287"/>
      <c r="T15" s="287"/>
      <c r="U15" s="287"/>
      <c r="V15" s="287"/>
      <c r="W15" s="287"/>
      <c r="X15" s="287"/>
      <c r="Y15" s="287"/>
    </row>
    <row r="16" spans="1:25" ht="15.75" customHeight="1">
      <c r="A16" s="655"/>
      <c r="B16" s="655"/>
      <c r="C16" s="340">
        <v>5</v>
      </c>
      <c r="D16" s="340" t="s">
        <v>453</v>
      </c>
      <c r="E16" s="657" t="s">
        <v>499</v>
      </c>
      <c r="F16" s="343" t="s">
        <v>505</v>
      </c>
      <c r="G16" s="343" t="s">
        <v>506</v>
      </c>
      <c r="H16" s="344"/>
      <c r="I16" s="655"/>
      <c r="J16" s="655"/>
      <c r="K16" s="340">
        <v>5</v>
      </c>
      <c r="L16" s="340" t="s">
        <v>453</v>
      </c>
      <c r="M16" s="657" t="s">
        <v>499</v>
      </c>
      <c r="N16" s="343" t="s">
        <v>505</v>
      </c>
      <c r="O16" s="343" t="s">
        <v>506</v>
      </c>
      <c r="P16" s="344"/>
      <c r="Q16" s="287"/>
      <c r="R16" s="287"/>
      <c r="S16" s="287"/>
      <c r="T16" s="287"/>
      <c r="U16" s="287"/>
      <c r="V16" s="287"/>
      <c r="W16" s="287"/>
      <c r="X16" s="287"/>
      <c r="Y16" s="287"/>
    </row>
    <row r="17" spans="1:25" ht="15.75" customHeight="1">
      <c r="A17" s="655"/>
      <c r="B17" s="655"/>
      <c r="C17" s="340">
        <v>6</v>
      </c>
      <c r="D17" s="340" t="s">
        <v>454</v>
      </c>
      <c r="E17" s="657"/>
      <c r="F17" s="343"/>
      <c r="G17" s="345"/>
      <c r="H17" s="343" t="s">
        <v>507</v>
      </c>
      <c r="I17" s="655"/>
      <c r="J17" s="655"/>
      <c r="K17" s="340">
        <v>6</v>
      </c>
      <c r="L17" s="340" t="s">
        <v>454</v>
      </c>
      <c r="M17" s="657"/>
      <c r="N17" s="343"/>
      <c r="O17" s="345"/>
      <c r="P17" s="343" t="s">
        <v>507</v>
      </c>
      <c r="Q17" s="287"/>
      <c r="R17" s="287"/>
      <c r="S17" s="287"/>
      <c r="T17" s="287"/>
      <c r="U17" s="287"/>
      <c r="V17" s="287"/>
      <c r="W17" s="287"/>
      <c r="X17" s="287"/>
      <c r="Y17" s="287"/>
    </row>
    <row r="18" spans="1:25" ht="15.75" customHeight="1">
      <c r="A18" s="655"/>
      <c r="B18" s="655"/>
      <c r="C18" s="340">
        <v>7</v>
      </c>
      <c r="D18" s="340" t="s">
        <v>455</v>
      </c>
      <c r="E18" s="657" t="s">
        <v>499</v>
      </c>
      <c r="F18" s="343" t="s">
        <v>505</v>
      </c>
      <c r="G18" s="343" t="s">
        <v>506</v>
      </c>
      <c r="H18" s="344"/>
      <c r="I18" s="655"/>
      <c r="J18" s="655"/>
      <c r="K18" s="340">
        <v>7</v>
      </c>
      <c r="L18" s="340" t="s">
        <v>455</v>
      </c>
      <c r="M18" s="657" t="s">
        <v>499</v>
      </c>
      <c r="N18" s="343" t="s">
        <v>505</v>
      </c>
      <c r="O18" s="343" t="s">
        <v>506</v>
      </c>
      <c r="P18" s="344"/>
      <c r="Q18" s="287"/>
      <c r="R18" s="287"/>
      <c r="S18" s="287"/>
      <c r="T18" s="287"/>
      <c r="U18" s="287"/>
      <c r="V18" s="287"/>
      <c r="W18" s="287"/>
      <c r="X18" s="287"/>
      <c r="Y18" s="287"/>
    </row>
    <row r="19" spans="1:25" ht="15.75" customHeight="1">
      <c r="A19" s="655"/>
      <c r="B19" s="655"/>
      <c r="C19" s="340">
        <v>8</v>
      </c>
      <c r="D19" s="340" t="s">
        <v>456</v>
      </c>
      <c r="E19" s="657"/>
      <c r="F19" s="343"/>
      <c r="G19" s="345"/>
      <c r="H19" s="343" t="s">
        <v>507</v>
      </c>
      <c r="I19" s="655"/>
      <c r="J19" s="655"/>
      <c r="K19" s="340">
        <v>8</v>
      </c>
      <c r="L19" s="340" t="s">
        <v>456</v>
      </c>
      <c r="M19" s="657"/>
      <c r="N19" s="343"/>
      <c r="O19" s="345"/>
      <c r="P19" s="343" t="s">
        <v>507</v>
      </c>
      <c r="Q19" s="287"/>
      <c r="R19" s="287"/>
      <c r="S19" s="287"/>
      <c r="T19" s="287"/>
      <c r="U19" s="287"/>
      <c r="V19" s="287"/>
      <c r="W19" s="287"/>
      <c r="X19" s="287"/>
      <c r="Y19" s="287"/>
    </row>
    <row r="20" spans="1:25" ht="15.75" customHeight="1">
      <c r="A20" s="655"/>
      <c r="B20" s="655"/>
      <c r="C20" s="340">
        <v>9</v>
      </c>
      <c r="D20" s="340" t="s">
        <v>457</v>
      </c>
      <c r="E20" s="657" t="s">
        <v>499</v>
      </c>
      <c r="F20" s="343" t="s">
        <v>505</v>
      </c>
      <c r="G20" s="343" t="s">
        <v>506</v>
      </c>
      <c r="H20" s="344"/>
      <c r="I20" s="655"/>
      <c r="J20" s="655"/>
      <c r="K20" s="340">
        <v>9</v>
      </c>
      <c r="L20" s="340" t="s">
        <v>457</v>
      </c>
      <c r="M20" s="657" t="s">
        <v>499</v>
      </c>
      <c r="N20" s="343" t="s">
        <v>505</v>
      </c>
      <c r="O20" s="343" t="s">
        <v>506</v>
      </c>
      <c r="P20" s="344"/>
      <c r="Q20" s="287"/>
      <c r="R20" s="287"/>
      <c r="S20" s="287"/>
      <c r="T20" s="287"/>
      <c r="U20" s="287"/>
      <c r="V20" s="287"/>
      <c r="W20" s="287"/>
      <c r="X20" s="287"/>
      <c r="Y20" s="287"/>
    </row>
    <row r="21" spans="1:25" ht="15.75" customHeight="1">
      <c r="A21" s="655"/>
      <c r="B21" s="655"/>
      <c r="C21" s="340">
        <v>10</v>
      </c>
      <c r="D21" s="340" t="s">
        <v>458</v>
      </c>
      <c r="E21" s="657"/>
      <c r="F21" s="343"/>
      <c r="G21" s="345"/>
      <c r="H21" s="343" t="s">
        <v>507</v>
      </c>
      <c r="I21" s="655"/>
      <c r="J21" s="655"/>
      <c r="K21" s="340">
        <v>10</v>
      </c>
      <c r="L21" s="340" t="s">
        <v>458</v>
      </c>
      <c r="M21" s="657"/>
      <c r="N21" s="343"/>
      <c r="O21" s="345"/>
      <c r="P21" s="343" t="s">
        <v>507</v>
      </c>
      <c r="Q21" s="287"/>
      <c r="R21" s="287"/>
      <c r="S21" s="287"/>
      <c r="T21" s="287"/>
      <c r="U21" s="287"/>
      <c r="V21" s="287"/>
      <c r="W21" s="287"/>
      <c r="X21" s="287"/>
      <c r="Y21" s="287"/>
    </row>
    <row r="22" spans="1:25" ht="15.75" customHeight="1">
      <c r="A22" s="655"/>
      <c r="B22" s="655"/>
      <c r="C22" s="340">
        <v>11</v>
      </c>
      <c r="D22" s="340" t="s">
        <v>459</v>
      </c>
      <c r="E22" s="658"/>
      <c r="F22" s="341"/>
      <c r="G22" s="341"/>
      <c r="H22" s="341"/>
      <c r="I22" s="655"/>
      <c r="J22" s="655"/>
      <c r="K22" s="340">
        <v>11</v>
      </c>
      <c r="L22" s="340" t="s">
        <v>459</v>
      </c>
      <c r="M22" s="658"/>
      <c r="N22" s="341"/>
      <c r="O22" s="341"/>
      <c r="P22" s="341"/>
      <c r="Q22" s="287"/>
      <c r="R22" s="287"/>
      <c r="S22" s="287"/>
      <c r="T22" s="287"/>
      <c r="U22" s="287"/>
      <c r="V22" s="287"/>
      <c r="W22" s="287"/>
      <c r="X22" s="287"/>
      <c r="Y22" s="287"/>
    </row>
    <row r="23" spans="1:25" ht="15.75" customHeight="1">
      <c r="A23" s="604"/>
      <c r="B23" s="604"/>
      <c r="C23" s="340">
        <v>12</v>
      </c>
      <c r="D23" s="340" t="s">
        <v>460</v>
      </c>
      <c r="E23" s="659"/>
      <c r="F23" s="341"/>
      <c r="G23" s="341"/>
      <c r="H23" s="341"/>
      <c r="I23" s="604"/>
      <c r="J23" s="604"/>
      <c r="K23" s="340">
        <v>12</v>
      </c>
      <c r="L23" s="340" t="s">
        <v>460</v>
      </c>
      <c r="M23" s="659"/>
      <c r="N23" s="341"/>
      <c r="O23" s="341"/>
      <c r="P23" s="341"/>
      <c r="Q23" s="287"/>
      <c r="R23" s="287"/>
      <c r="S23" s="287"/>
      <c r="T23" s="287"/>
      <c r="U23" s="287"/>
      <c r="V23" s="287"/>
      <c r="W23" s="287"/>
      <c r="X23" s="287"/>
      <c r="Y23" s="287"/>
    </row>
    <row r="24" spans="1:25" ht="15.75" customHeight="1">
      <c r="A24" s="654">
        <v>2</v>
      </c>
      <c r="B24" s="656" t="s">
        <v>461</v>
      </c>
      <c r="C24" s="340">
        <v>1</v>
      </c>
      <c r="D24" s="340" t="s">
        <v>448</v>
      </c>
      <c r="E24" s="657" t="s">
        <v>499</v>
      </c>
      <c r="F24" s="342"/>
      <c r="G24" s="343" t="s">
        <v>506</v>
      </c>
      <c r="H24" s="344"/>
      <c r="I24" s="654">
        <v>6</v>
      </c>
      <c r="J24" s="656" t="s">
        <v>462</v>
      </c>
      <c r="K24" s="340">
        <v>1</v>
      </c>
      <c r="L24" s="340" t="s">
        <v>448</v>
      </c>
      <c r="M24" s="657" t="s">
        <v>499</v>
      </c>
      <c r="N24" s="342"/>
      <c r="O24" s="343" t="s">
        <v>506</v>
      </c>
      <c r="P24" s="344"/>
      <c r="Q24" s="287"/>
      <c r="R24" s="287"/>
      <c r="S24" s="287"/>
      <c r="T24" s="287"/>
      <c r="U24" s="287"/>
      <c r="V24" s="287"/>
      <c r="W24" s="287"/>
      <c r="X24" s="287"/>
      <c r="Y24" s="287"/>
    </row>
    <row r="25" spans="1:25" ht="15.75" customHeight="1">
      <c r="A25" s="655"/>
      <c r="B25" s="655"/>
      <c r="C25" s="340">
        <v>2</v>
      </c>
      <c r="D25" s="340" t="s">
        <v>450</v>
      </c>
      <c r="E25" s="657"/>
      <c r="F25" s="342"/>
      <c r="G25" s="345"/>
      <c r="H25" s="343" t="s">
        <v>507</v>
      </c>
      <c r="I25" s="655"/>
      <c r="J25" s="655"/>
      <c r="K25" s="340">
        <v>2</v>
      </c>
      <c r="L25" s="340" t="s">
        <v>450</v>
      </c>
      <c r="M25" s="657"/>
      <c r="N25" s="342"/>
      <c r="O25" s="345"/>
      <c r="P25" s="343" t="s">
        <v>507</v>
      </c>
      <c r="Q25" s="287"/>
      <c r="R25" s="287"/>
      <c r="S25" s="287"/>
      <c r="T25" s="287"/>
      <c r="U25" s="287"/>
      <c r="V25" s="287"/>
      <c r="W25" s="287"/>
      <c r="X25" s="287"/>
      <c r="Y25" s="287"/>
    </row>
    <row r="26" spans="1:25" ht="15.75" customHeight="1">
      <c r="A26" s="655"/>
      <c r="B26" s="655"/>
      <c r="C26" s="340">
        <v>3</v>
      </c>
      <c r="D26" s="340" t="s">
        <v>451</v>
      </c>
      <c r="E26" s="657" t="s">
        <v>499</v>
      </c>
      <c r="F26" s="342"/>
      <c r="G26" s="343" t="s">
        <v>506</v>
      </c>
      <c r="H26" s="344"/>
      <c r="I26" s="655"/>
      <c r="J26" s="655"/>
      <c r="K26" s="340">
        <v>3</v>
      </c>
      <c r="L26" s="340" t="s">
        <v>451</v>
      </c>
      <c r="M26" s="657" t="s">
        <v>499</v>
      </c>
      <c r="N26" s="342"/>
      <c r="O26" s="343" t="s">
        <v>506</v>
      </c>
      <c r="P26" s="344"/>
      <c r="Q26" s="287"/>
      <c r="R26" s="287"/>
      <c r="S26" s="287"/>
      <c r="T26" s="287"/>
      <c r="U26" s="287"/>
      <c r="V26" s="287"/>
      <c r="W26" s="287"/>
      <c r="X26" s="287"/>
      <c r="Y26" s="287"/>
    </row>
    <row r="27" spans="1:25" ht="15.75" customHeight="1">
      <c r="A27" s="655"/>
      <c r="B27" s="655"/>
      <c r="C27" s="340">
        <v>4</v>
      </c>
      <c r="D27" s="340" t="s">
        <v>452</v>
      </c>
      <c r="E27" s="657"/>
      <c r="F27" s="342"/>
      <c r="G27" s="345"/>
      <c r="H27" s="343" t="s">
        <v>507</v>
      </c>
      <c r="I27" s="655"/>
      <c r="J27" s="655"/>
      <c r="K27" s="340">
        <v>4</v>
      </c>
      <c r="L27" s="340" t="s">
        <v>452</v>
      </c>
      <c r="M27" s="657"/>
      <c r="N27" s="342"/>
      <c r="O27" s="345"/>
      <c r="P27" s="343" t="s">
        <v>507</v>
      </c>
      <c r="Q27" s="287"/>
      <c r="R27" s="287"/>
      <c r="S27" s="287"/>
      <c r="T27" s="287"/>
      <c r="U27" s="287"/>
      <c r="V27" s="287"/>
      <c r="W27" s="287"/>
      <c r="X27" s="287"/>
      <c r="Y27" s="287"/>
    </row>
    <row r="28" spans="1:25" ht="15.75" customHeight="1">
      <c r="A28" s="655"/>
      <c r="B28" s="655"/>
      <c r="C28" s="340">
        <v>5</v>
      </c>
      <c r="D28" s="340" t="s">
        <v>453</v>
      </c>
      <c r="E28" s="657" t="s">
        <v>499</v>
      </c>
      <c r="F28" s="342"/>
      <c r="G28" s="343" t="s">
        <v>506</v>
      </c>
      <c r="H28" s="344"/>
      <c r="I28" s="655"/>
      <c r="J28" s="655"/>
      <c r="K28" s="340">
        <v>5</v>
      </c>
      <c r="L28" s="340" t="s">
        <v>453</v>
      </c>
      <c r="M28" s="657" t="s">
        <v>499</v>
      </c>
      <c r="N28" s="342"/>
      <c r="O28" s="343" t="s">
        <v>506</v>
      </c>
      <c r="P28" s="344"/>
      <c r="Q28" s="287"/>
      <c r="R28" s="287"/>
      <c r="S28" s="287"/>
      <c r="T28" s="287"/>
      <c r="U28" s="287"/>
      <c r="V28" s="287"/>
      <c r="W28" s="287"/>
      <c r="X28" s="287"/>
      <c r="Y28" s="287"/>
    </row>
    <row r="29" spans="1:25" ht="15.75" customHeight="1">
      <c r="A29" s="655"/>
      <c r="B29" s="655"/>
      <c r="C29" s="340">
        <v>6</v>
      </c>
      <c r="D29" s="340" t="s">
        <v>454</v>
      </c>
      <c r="E29" s="657"/>
      <c r="F29" s="342"/>
      <c r="G29" s="345"/>
      <c r="H29" s="343" t="s">
        <v>507</v>
      </c>
      <c r="I29" s="655"/>
      <c r="J29" s="655"/>
      <c r="K29" s="340">
        <v>6</v>
      </c>
      <c r="L29" s="340" t="s">
        <v>454</v>
      </c>
      <c r="M29" s="657"/>
      <c r="N29" s="342"/>
      <c r="O29" s="345"/>
      <c r="P29" s="343" t="s">
        <v>507</v>
      </c>
      <c r="Q29" s="287"/>
      <c r="R29" s="287"/>
      <c r="S29" s="287"/>
      <c r="T29" s="287"/>
      <c r="U29" s="287"/>
      <c r="V29" s="287"/>
      <c r="W29" s="287"/>
      <c r="X29" s="287"/>
      <c r="Y29" s="287"/>
    </row>
    <row r="30" spans="1:25" ht="15.75" customHeight="1">
      <c r="A30" s="655"/>
      <c r="B30" s="655"/>
      <c r="C30" s="340">
        <v>7</v>
      </c>
      <c r="D30" s="340" t="s">
        <v>455</v>
      </c>
      <c r="E30" s="657" t="s">
        <v>499</v>
      </c>
      <c r="F30" s="341"/>
      <c r="G30" s="343" t="s">
        <v>506</v>
      </c>
      <c r="H30" s="344"/>
      <c r="I30" s="655"/>
      <c r="J30" s="655"/>
      <c r="K30" s="340">
        <v>7</v>
      </c>
      <c r="L30" s="340" t="s">
        <v>455</v>
      </c>
      <c r="M30" s="657" t="s">
        <v>499</v>
      </c>
      <c r="N30" s="341"/>
      <c r="O30" s="343" t="s">
        <v>506</v>
      </c>
      <c r="P30" s="344"/>
      <c r="Q30" s="287"/>
      <c r="R30" s="287"/>
      <c r="S30" s="287"/>
      <c r="T30" s="287"/>
      <c r="U30" s="287"/>
      <c r="V30" s="287"/>
      <c r="W30" s="287"/>
      <c r="X30" s="287"/>
      <c r="Y30" s="287"/>
    </row>
    <row r="31" spans="1:25" ht="15.75" customHeight="1">
      <c r="A31" s="655"/>
      <c r="B31" s="655"/>
      <c r="C31" s="340">
        <v>8</v>
      </c>
      <c r="D31" s="340" t="s">
        <v>456</v>
      </c>
      <c r="E31" s="657"/>
      <c r="F31" s="341"/>
      <c r="G31" s="345"/>
      <c r="H31" s="343" t="s">
        <v>507</v>
      </c>
      <c r="I31" s="655"/>
      <c r="J31" s="655"/>
      <c r="K31" s="340">
        <v>8</v>
      </c>
      <c r="L31" s="340" t="s">
        <v>456</v>
      </c>
      <c r="M31" s="657"/>
      <c r="N31" s="341"/>
      <c r="O31" s="345"/>
      <c r="P31" s="343" t="s">
        <v>507</v>
      </c>
      <c r="Q31" s="287"/>
      <c r="R31" s="287"/>
      <c r="S31" s="287"/>
      <c r="T31" s="287"/>
      <c r="U31" s="287"/>
      <c r="V31" s="287"/>
      <c r="W31" s="287"/>
      <c r="X31" s="287"/>
      <c r="Y31" s="287"/>
    </row>
    <row r="32" spans="1:25" ht="15.75" customHeight="1">
      <c r="A32" s="655"/>
      <c r="B32" s="655"/>
      <c r="C32" s="340">
        <v>9</v>
      </c>
      <c r="D32" s="340" t="s">
        <v>457</v>
      </c>
      <c r="E32" s="657" t="s">
        <v>499</v>
      </c>
      <c r="F32" s="341"/>
      <c r="G32" s="343" t="s">
        <v>506</v>
      </c>
      <c r="H32" s="344"/>
      <c r="I32" s="655"/>
      <c r="J32" s="655"/>
      <c r="K32" s="340">
        <v>9</v>
      </c>
      <c r="L32" s="340" t="s">
        <v>457</v>
      </c>
      <c r="M32" s="657" t="s">
        <v>499</v>
      </c>
      <c r="N32" s="341"/>
      <c r="O32" s="343" t="s">
        <v>506</v>
      </c>
      <c r="P32" s="344"/>
      <c r="Q32" s="287"/>
      <c r="R32" s="287"/>
      <c r="S32" s="287"/>
      <c r="T32" s="287"/>
      <c r="U32" s="287"/>
      <c r="V32" s="287"/>
      <c r="W32" s="287"/>
      <c r="X32" s="287"/>
      <c r="Y32" s="287"/>
    </row>
    <row r="33" spans="1:25" ht="15.75" customHeight="1">
      <c r="A33" s="655"/>
      <c r="B33" s="655"/>
      <c r="C33" s="340">
        <v>10</v>
      </c>
      <c r="D33" s="340" t="s">
        <v>458</v>
      </c>
      <c r="E33" s="657"/>
      <c r="F33" s="341"/>
      <c r="G33" s="345"/>
      <c r="H33" s="343" t="s">
        <v>507</v>
      </c>
      <c r="I33" s="655"/>
      <c r="J33" s="655"/>
      <c r="K33" s="340">
        <v>10</v>
      </c>
      <c r="L33" s="340" t="s">
        <v>458</v>
      </c>
      <c r="M33" s="657"/>
      <c r="N33" s="341"/>
      <c r="O33" s="345"/>
      <c r="P33" s="343" t="s">
        <v>507</v>
      </c>
      <c r="Q33" s="287"/>
      <c r="R33" s="287"/>
      <c r="S33" s="287"/>
      <c r="T33" s="287"/>
      <c r="U33" s="287"/>
      <c r="V33" s="287"/>
      <c r="W33" s="287"/>
      <c r="X33" s="287"/>
      <c r="Y33" s="287"/>
    </row>
    <row r="34" spans="1:25" ht="15.75" customHeight="1">
      <c r="A34" s="655"/>
      <c r="B34" s="655"/>
      <c r="C34" s="340">
        <v>11</v>
      </c>
      <c r="D34" s="340" t="s">
        <v>459</v>
      </c>
      <c r="E34" s="658"/>
      <c r="F34" s="341"/>
      <c r="G34" s="341"/>
      <c r="H34" s="341"/>
      <c r="I34" s="655"/>
      <c r="J34" s="655"/>
      <c r="K34" s="340">
        <v>11</v>
      </c>
      <c r="L34" s="340" t="s">
        <v>459</v>
      </c>
      <c r="M34" s="658"/>
      <c r="N34" s="341"/>
      <c r="O34" s="341"/>
      <c r="P34" s="341"/>
      <c r="Q34" s="287"/>
      <c r="R34" s="287"/>
      <c r="S34" s="287"/>
      <c r="T34" s="287"/>
      <c r="U34" s="287"/>
      <c r="V34" s="287"/>
      <c r="W34" s="287"/>
      <c r="X34" s="287"/>
      <c r="Y34" s="287"/>
    </row>
    <row r="35" spans="1:25" ht="15.75" customHeight="1">
      <c r="A35" s="604"/>
      <c r="B35" s="604"/>
      <c r="C35" s="340">
        <v>12</v>
      </c>
      <c r="D35" s="340" t="s">
        <v>460</v>
      </c>
      <c r="E35" s="659"/>
      <c r="F35" s="341"/>
      <c r="G35" s="341"/>
      <c r="H35" s="341"/>
      <c r="I35" s="604"/>
      <c r="J35" s="604"/>
      <c r="K35" s="340">
        <v>12</v>
      </c>
      <c r="L35" s="340" t="s">
        <v>460</v>
      </c>
      <c r="M35" s="659"/>
      <c r="N35" s="341"/>
      <c r="O35" s="341"/>
      <c r="P35" s="341"/>
      <c r="Q35" s="287"/>
      <c r="R35" s="287"/>
      <c r="S35" s="287"/>
      <c r="T35" s="287"/>
      <c r="U35" s="287"/>
      <c r="V35" s="287"/>
      <c r="W35" s="287"/>
      <c r="X35" s="287"/>
      <c r="Y35" s="287"/>
    </row>
    <row r="36" spans="1:25" ht="12.75" customHeight="1">
      <c r="A36" s="654">
        <v>3</v>
      </c>
      <c r="B36" s="656" t="s">
        <v>463</v>
      </c>
      <c r="C36" s="340">
        <v>1</v>
      </c>
      <c r="D36" s="340" t="s">
        <v>448</v>
      </c>
      <c r="E36" s="657" t="s">
        <v>499</v>
      </c>
      <c r="F36" s="341"/>
      <c r="G36" s="343" t="s">
        <v>506</v>
      </c>
      <c r="H36" s="344"/>
      <c r="I36" s="654">
        <v>7</v>
      </c>
      <c r="J36" s="656" t="s">
        <v>464</v>
      </c>
      <c r="K36" s="340">
        <v>1</v>
      </c>
      <c r="L36" s="340" t="s">
        <v>448</v>
      </c>
      <c r="M36" s="657" t="s">
        <v>499</v>
      </c>
      <c r="N36" s="341"/>
      <c r="O36" s="343" t="s">
        <v>506</v>
      </c>
      <c r="P36" s="344"/>
      <c r="Q36" s="287"/>
      <c r="R36" s="287"/>
      <c r="S36" s="287"/>
      <c r="T36" s="287"/>
      <c r="U36" s="287"/>
      <c r="V36" s="287"/>
      <c r="W36" s="287"/>
      <c r="X36" s="287"/>
      <c r="Y36" s="287"/>
    </row>
    <row r="37" spans="1:25" ht="12.75" customHeight="1">
      <c r="A37" s="655"/>
      <c r="B37" s="655"/>
      <c r="C37" s="340">
        <v>2</v>
      </c>
      <c r="D37" s="340" t="s">
        <v>450</v>
      </c>
      <c r="E37" s="657"/>
      <c r="F37" s="341"/>
      <c r="G37" s="345"/>
      <c r="H37" s="343" t="s">
        <v>507</v>
      </c>
      <c r="I37" s="655"/>
      <c r="J37" s="655"/>
      <c r="K37" s="340">
        <v>2</v>
      </c>
      <c r="L37" s="340" t="s">
        <v>450</v>
      </c>
      <c r="M37" s="657"/>
      <c r="N37" s="341"/>
      <c r="O37" s="345"/>
      <c r="P37" s="343" t="s">
        <v>507</v>
      </c>
      <c r="Q37" s="287"/>
      <c r="R37" s="287"/>
      <c r="S37" s="287"/>
      <c r="T37" s="287"/>
      <c r="U37" s="287"/>
      <c r="V37" s="287"/>
      <c r="W37" s="287"/>
      <c r="X37" s="287"/>
      <c r="Y37" s="287"/>
    </row>
    <row r="38" spans="1:25" ht="12.75" customHeight="1">
      <c r="A38" s="655"/>
      <c r="B38" s="655"/>
      <c r="C38" s="340">
        <v>3</v>
      </c>
      <c r="D38" s="340" t="s">
        <v>451</v>
      </c>
      <c r="E38" s="657" t="s">
        <v>499</v>
      </c>
      <c r="F38" s="341"/>
      <c r="G38" s="343" t="s">
        <v>506</v>
      </c>
      <c r="H38" s="344"/>
      <c r="I38" s="655"/>
      <c r="J38" s="655"/>
      <c r="K38" s="340">
        <v>3</v>
      </c>
      <c r="L38" s="340" t="s">
        <v>451</v>
      </c>
      <c r="M38" s="657" t="s">
        <v>499</v>
      </c>
      <c r="N38" s="341"/>
      <c r="O38" s="343" t="s">
        <v>506</v>
      </c>
      <c r="P38" s="344"/>
      <c r="Q38" s="287"/>
      <c r="R38" s="287"/>
      <c r="S38" s="287"/>
      <c r="T38" s="287"/>
      <c r="U38" s="287"/>
      <c r="V38" s="287"/>
      <c r="W38" s="287"/>
      <c r="X38" s="287"/>
      <c r="Y38" s="287"/>
    </row>
    <row r="39" spans="1:25" ht="18" customHeight="1">
      <c r="A39" s="655"/>
      <c r="B39" s="655"/>
      <c r="C39" s="340">
        <v>4</v>
      </c>
      <c r="D39" s="340" t="s">
        <v>452</v>
      </c>
      <c r="E39" s="657"/>
      <c r="F39" s="341"/>
      <c r="G39" s="345"/>
      <c r="H39" s="343" t="s">
        <v>507</v>
      </c>
      <c r="I39" s="655"/>
      <c r="J39" s="655"/>
      <c r="K39" s="340">
        <v>4</v>
      </c>
      <c r="L39" s="340" t="s">
        <v>452</v>
      </c>
      <c r="M39" s="657"/>
      <c r="N39" s="341"/>
      <c r="O39" s="345"/>
      <c r="P39" s="343" t="s">
        <v>507</v>
      </c>
      <c r="Q39" s="287"/>
      <c r="R39" s="287"/>
      <c r="S39" s="287"/>
      <c r="T39" s="287"/>
      <c r="U39" s="287"/>
      <c r="V39" s="287"/>
      <c r="W39" s="287"/>
      <c r="X39" s="287"/>
      <c r="Y39" s="287"/>
    </row>
    <row r="40" spans="1:25" ht="12.75" customHeight="1">
      <c r="A40" s="655"/>
      <c r="B40" s="655"/>
      <c r="C40" s="340">
        <v>5</v>
      </c>
      <c r="D40" s="340" t="s">
        <v>453</v>
      </c>
      <c r="E40" s="657" t="s">
        <v>499</v>
      </c>
      <c r="F40" s="341"/>
      <c r="G40" s="343" t="s">
        <v>506</v>
      </c>
      <c r="H40" s="344"/>
      <c r="I40" s="655"/>
      <c r="J40" s="655"/>
      <c r="K40" s="340">
        <v>5</v>
      </c>
      <c r="L40" s="340" t="s">
        <v>453</v>
      </c>
      <c r="M40" s="657" t="s">
        <v>499</v>
      </c>
      <c r="N40" s="341"/>
      <c r="O40" s="343" t="s">
        <v>506</v>
      </c>
      <c r="P40" s="344"/>
      <c r="Q40" s="287"/>
      <c r="R40" s="287"/>
      <c r="S40" s="287"/>
      <c r="T40" s="287"/>
      <c r="U40" s="287"/>
      <c r="V40" s="287"/>
      <c r="W40" s="287"/>
      <c r="X40" s="287"/>
      <c r="Y40" s="287"/>
    </row>
    <row r="41" spans="1:25" ht="12.75" customHeight="1">
      <c r="A41" s="655"/>
      <c r="B41" s="655"/>
      <c r="C41" s="340">
        <v>6</v>
      </c>
      <c r="D41" s="340" t="s">
        <v>454</v>
      </c>
      <c r="E41" s="657"/>
      <c r="F41" s="341"/>
      <c r="G41" s="345"/>
      <c r="H41" s="343" t="s">
        <v>507</v>
      </c>
      <c r="I41" s="655"/>
      <c r="J41" s="655"/>
      <c r="K41" s="340">
        <v>6</v>
      </c>
      <c r="L41" s="340" t="s">
        <v>454</v>
      </c>
      <c r="M41" s="657"/>
      <c r="N41" s="341"/>
      <c r="O41" s="345"/>
      <c r="P41" s="343" t="s">
        <v>507</v>
      </c>
      <c r="Q41" s="287"/>
      <c r="R41" s="287"/>
      <c r="S41" s="287"/>
      <c r="T41" s="287"/>
      <c r="U41" s="287"/>
      <c r="V41" s="287"/>
      <c r="W41" s="287"/>
      <c r="X41" s="287"/>
      <c r="Y41" s="287"/>
    </row>
    <row r="42" spans="1:25" ht="12.75" customHeight="1">
      <c r="A42" s="655"/>
      <c r="B42" s="655"/>
      <c r="C42" s="340">
        <v>7</v>
      </c>
      <c r="D42" s="340" t="s">
        <v>455</v>
      </c>
      <c r="E42" s="657" t="s">
        <v>499</v>
      </c>
      <c r="F42" s="341"/>
      <c r="G42" s="343" t="s">
        <v>506</v>
      </c>
      <c r="H42" s="344"/>
      <c r="I42" s="655"/>
      <c r="J42" s="655"/>
      <c r="K42" s="340">
        <v>7</v>
      </c>
      <c r="L42" s="340" t="s">
        <v>455</v>
      </c>
      <c r="M42" s="657" t="s">
        <v>499</v>
      </c>
      <c r="N42" s="341"/>
      <c r="O42" s="343" t="s">
        <v>506</v>
      </c>
      <c r="P42" s="344"/>
      <c r="Q42" s="287"/>
      <c r="R42" s="287"/>
      <c r="S42" s="287"/>
      <c r="T42" s="287"/>
      <c r="U42" s="287"/>
      <c r="V42" s="287"/>
      <c r="W42" s="287"/>
      <c r="X42" s="287"/>
      <c r="Y42" s="287"/>
    </row>
    <row r="43" spans="1:25" ht="12.75" customHeight="1">
      <c r="A43" s="655"/>
      <c r="B43" s="655"/>
      <c r="C43" s="340">
        <v>8</v>
      </c>
      <c r="D43" s="340" t="s">
        <v>456</v>
      </c>
      <c r="E43" s="657"/>
      <c r="F43" s="341"/>
      <c r="G43" s="345"/>
      <c r="H43" s="343" t="s">
        <v>507</v>
      </c>
      <c r="I43" s="655"/>
      <c r="J43" s="655"/>
      <c r="K43" s="340">
        <v>8</v>
      </c>
      <c r="L43" s="340" t="s">
        <v>456</v>
      </c>
      <c r="M43" s="657"/>
      <c r="N43" s="341"/>
      <c r="O43" s="345"/>
      <c r="P43" s="343" t="s">
        <v>507</v>
      </c>
      <c r="Q43" s="287"/>
      <c r="R43" s="287"/>
      <c r="S43" s="287"/>
      <c r="T43" s="287"/>
      <c r="U43" s="287"/>
      <c r="V43" s="287"/>
      <c r="W43" s="287"/>
      <c r="X43" s="287"/>
      <c r="Y43" s="287"/>
    </row>
    <row r="44" spans="1:25" ht="12.75" customHeight="1">
      <c r="A44" s="655"/>
      <c r="B44" s="655"/>
      <c r="C44" s="340">
        <v>9</v>
      </c>
      <c r="D44" s="340" t="s">
        <v>457</v>
      </c>
      <c r="E44" s="657" t="s">
        <v>499</v>
      </c>
      <c r="F44" s="341"/>
      <c r="G44" s="343" t="s">
        <v>506</v>
      </c>
      <c r="H44" s="344"/>
      <c r="I44" s="655"/>
      <c r="J44" s="655"/>
      <c r="K44" s="340">
        <v>9</v>
      </c>
      <c r="L44" s="340" t="s">
        <v>457</v>
      </c>
      <c r="M44" s="657" t="s">
        <v>499</v>
      </c>
      <c r="N44" s="341"/>
      <c r="O44" s="343" t="s">
        <v>506</v>
      </c>
      <c r="P44" s="344"/>
      <c r="Q44" s="287"/>
      <c r="R44" s="287"/>
      <c r="S44" s="287"/>
      <c r="T44" s="287"/>
      <c r="U44" s="287"/>
      <c r="V44" s="287"/>
      <c r="W44" s="287"/>
      <c r="X44" s="287"/>
      <c r="Y44" s="287"/>
    </row>
    <row r="45" spans="1:25" ht="12.75" customHeight="1">
      <c r="A45" s="655"/>
      <c r="B45" s="655"/>
      <c r="C45" s="340">
        <v>10</v>
      </c>
      <c r="D45" s="340" t="s">
        <v>458</v>
      </c>
      <c r="E45" s="657"/>
      <c r="F45" s="341"/>
      <c r="G45" s="345"/>
      <c r="H45" s="343" t="s">
        <v>507</v>
      </c>
      <c r="I45" s="655"/>
      <c r="J45" s="655"/>
      <c r="K45" s="340">
        <v>10</v>
      </c>
      <c r="L45" s="340" t="s">
        <v>458</v>
      </c>
      <c r="M45" s="657"/>
      <c r="N45" s="341"/>
      <c r="O45" s="345"/>
      <c r="P45" s="343" t="s">
        <v>507</v>
      </c>
      <c r="Q45" s="287"/>
      <c r="R45" s="287"/>
      <c r="S45" s="287"/>
      <c r="T45" s="287"/>
      <c r="U45" s="287"/>
      <c r="V45" s="287"/>
      <c r="W45" s="287"/>
      <c r="X45" s="287"/>
      <c r="Y45" s="287"/>
    </row>
    <row r="46" spans="1:25" ht="12.75" customHeight="1">
      <c r="A46" s="655"/>
      <c r="B46" s="655"/>
      <c r="C46" s="340">
        <v>11</v>
      </c>
      <c r="D46" s="340" t="s">
        <v>459</v>
      </c>
      <c r="E46" s="658"/>
      <c r="F46" s="341"/>
      <c r="G46" s="341"/>
      <c r="H46" s="341"/>
      <c r="I46" s="655"/>
      <c r="J46" s="655"/>
      <c r="K46" s="340">
        <v>11</v>
      </c>
      <c r="L46" s="340" t="s">
        <v>459</v>
      </c>
      <c r="M46" s="658"/>
      <c r="N46" s="341"/>
      <c r="O46" s="341"/>
      <c r="P46" s="341"/>
      <c r="Q46" s="287"/>
      <c r="R46" s="287"/>
      <c r="S46" s="287"/>
      <c r="T46" s="287"/>
      <c r="U46" s="287"/>
      <c r="V46" s="287"/>
      <c r="W46" s="287"/>
      <c r="X46" s="287"/>
      <c r="Y46" s="287"/>
    </row>
    <row r="47" spans="1:25" ht="12.75" customHeight="1">
      <c r="A47" s="604"/>
      <c r="B47" s="604"/>
      <c r="C47" s="340">
        <v>12</v>
      </c>
      <c r="D47" s="340" t="s">
        <v>460</v>
      </c>
      <c r="E47" s="659"/>
      <c r="F47" s="341"/>
      <c r="G47" s="341"/>
      <c r="H47" s="341"/>
      <c r="I47" s="604"/>
      <c r="J47" s="604"/>
      <c r="K47" s="340">
        <v>12</v>
      </c>
      <c r="L47" s="340" t="s">
        <v>460</v>
      </c>
      <c r="M47" s="659"/>
      <c r="N47" s="341"/>
      <c r="O47" s="341"/>
      <c r="P47" s="341"/>
      <c r="Q47" s="287"/>
      <c r="R47" s="287"/>
      <c r="S47" s="287"/>
      <c r="T47" s="287"/>
      <c r="U47" s="287"/>
      <c r="V47" s="287"/>
      <c r="W47" s="287"/>
      <c r="X47" s="287"/>
      <c r="Y47" s="287"/>
    </row>
    <row r="48" spans="1:25" ht="12.75" customHeight="1">
      <c r="A48" s="654">
        <v>4</v>
      </c>
      <c r="B48" s="656" t="s">
        <v>465</v>
      </c>
      <c r="C48" s="340">
        <v>1</v>
      </c>
      <c r="D48" s="340" t="s">
        <v>448</v>
      </c>
      <c r="E48" s="657" t="s">
        <v>499</v>
      </c>
      <c r="F48" s="341"/>
      <c r="G48" s="343" t="s">
        <v>506</v>
      </c>
      <c r="H48" s="344"/>
      <c r="I48" s="654">
        <v>8</v>
      </c>
      <c r="J48" s="656" t="s">
        <v>466</v>
      </c>
      <c r="K48" s="340">
        <v>1</v>
      </c>
      <c r="L48" s="340" t="s">
        <v>448</v>
      </c>
      <c r="M48" s="657" t="s">
        <v>499</v>
      </c>
      <c r="N48" s="341"/>
      <c r="O48" s="343" t="s">
        <v>506</v>
      </c>
      <c r="P48" s="344"/>
      <c r="Q48" s="287"/>
      <c r="R48" s="287"/>
      <c r="S48" s="287"/>
      <c r="T48" s="287"/>
      <c r="U48" s="287"/>
      <c r="V48" s="287"/>
      <c r="W48" s="287"/>
      <c r="X48" s="287"/>
      <c r="Y48" s="287"/>
    </row>
    <row r="49" spans="1:25" ht="12.75" customHeight="1">
      <c r="A49" s="655"/>
      <c r="B49" s="655"/>
      <c r="C49" s="340">
        <v>2</v>
      </c>
      <c r="D49" s="340" t="s">
        <v>450</v>
      </c>
      <c r="E49" s="657"/>
      <c r="F49" s="341"/>
      <c r="G49" s="345"/>
      <c r="H49" s="343" t="s">
        <v>507</v>
      </c>
      <c r="I49" s="655"/>
      <c r="J49" s="655"/>
      <c r="K49" s="340">
        <v>2</v>
      </c>
      <c r="L49" s="340" t="s">
        <v>450</v>
      </c>
      <c r="M49" s="657"/>
      <c r="N49" s="341"/>
      <c r="O49" s="345"/>
      <c r="P49" s="343" t="s">
        <v>507</v>
      </c>
      <c r="Q49" s="287"/>
      <c r="R49" s="287"/>
      <c r="S49" s="287"/>
      <c r="T49" s="287"/>
      <c r="U49" s="287"/>
      <c r="V49" s="287"/>
      <c r="W49" s="287"/>
      <c r="X49" s="287"/>
      <c r="Y49" s="287"/>
    </row>
    <row r="50" spans="1:25" ht="12.75" customHeight="1">
      <c r="A50" s="655"/>
      <c r="B50" s="655"/>
      <c r="C50" s="340">
        <v>3</v>
      </c>
      <c r="D50" s="340" t="s">
        <v>451</v>
      </c>
      <c r="E50" s="657" t="s">
        <v>499</v>
      </c>
      <c r="F50" s="341"/>
      <c r="G50" s="343" t="s">
        <v>506</v>
      </c>
      <c r="H50" s="344"/>
      <c r="I50" s="655"/>
      <c r="J50" s="655"/>
      <c r="K50" s="340">
        <v>3</v>
      </c>
      <c r="L50" s="340" t="s">
        <v>451</v>
      </c>
      <c r="M50" s="657" t="s">
        <v>499</v>
      </c>
      <c r="N50" s="341"/>
      <c r="O50" s="343" t="s">
        <v>506</v>
      </c>
      <c r="P50" s="344"/>
      <c r="Q50" s="287"/>
      <c r="R50" s="287"/>
      <c r="S50" s="287"/>
      <c r="T50" s="287"/>
      <c r="U50" s="287"/>
      <c r="V50" s="287"/>
      <c r="W50" s="287"/>
      <c r="X50" s="287"/>
      <c r="Y50" s="287"/>
    </row>
    <row r="51" spans="1:25" ht="18" customHeight="1">
      <c r="A51" s="655"/>
      <c r="B51" s="655"/>
      <c r="C51" s="340">
        <v>4</v>
      </c>
      <c r="D51" s="340" t="s">
        <v>452</v>
      </c>
      <c r="E51" s="657"/>
      <c r="F51" s="341"/>
      <c r="G51" s="345"/>
      <c r="H51" s="343" t="s">
        <v>507</v>
      </c>
      <c r="I51" s="655"/>
      <c r="J51" s="655"/>
      <c r="K51" s="340">
        <v>4</v>
      </c>
      <c r="L51" s="340" t="s">
        <v>452</v>
      </c>
      <c r="M51" s="657"/>
      <c r="N51" s="341"/>
      <c r="O51" s="345"/>
      <c r="P51" s="343" t="s">
        <v>507</v>
      </c>
      <c r="Q51" s="287"/>
      <c r="R51" s="287"/>
      <c r="S51" s="287"/>
      <c r="T51" s="287"/>
      <c r="U51" s="287"/>
      <c r="V51" s="287"/>
      <c r="W51" s="287"/>
      <c r="X51" s="287"/>
      <c r="Y51" s="287"/>
    </row>
    <row r="52" spans="1:25" ht="12.75" customHeight="1">
      <c r="A52" s="655"/>
      <c r="B52" s="655"/>
      <c r="C52" s="340">
        <v>5</v>
      </c>
      <c r="D52" s="340" t="s">
        <v>453</v>
      </c>
      <c r="E52" s="657" t="s">
        <v>499</v>
      </c>
      <c r="F52" s="341"/>
      <c r="G52" s="343" t="s">
        <v>506</v>
      </c>
      <c r="H52" s="344"/>
      <c r="I52" s="655"/>
      <c r="J52" s="655"/>
      <c r="K52" s="340">
        <v>5</v>
      </c>
      <c r="L52" s="340" t="s">
        <v>453</v>
      </c>
      <c r="M52" s="657" t="s">
        <v>499</v>
      </c>
      <c r="N52" s="341"/>
      <c r="O52" s="343" t="s">
        <v>506</v>
      </c>
      <c r="P52" s="344"/>
      <c r="Q52" s="287"/>
      <c r="R52" s="287"/>
      <c r="S52" s="287"/>
      <c r="T52" s="287"/>
      <c r="U52" s="287"/>
      <c r="V52" s="287"/>
      <c r="W52" s="287"/>
      <c r="X52" s="287"/>
      <c r="Y52" s="287"/>
    </row>
    <row r="53" spans="1:25" ht="12.75" customHeight="1">
      <c r="A53" s="655"/>
      <c r="B53" s="655"/>
      <c r="C53" s="340">
        <v>6</v>
      </c>
      <c r="D53" s="340" t="s">
        <v>454</v>
      </c>
      <c r="E53" s="657"/>
      <c r="F53" s="341"/>
      <c r="G53" s="345"/>
      <c r="H53" s="343" t="s">
        <v>507</v>
      </c>
      <c r="I53" s="655"/>
      <c r="J53" s="655"/>
      <c r="K53" s="340">
        <v>6</v>
      </c>
      <c r="L53" s="340" t="s">
        <v>454</v>
      </c>
      <c r="M53" s="657"/>
      <c r="N53" s="341"/>
      <c r="O53" s="345"/>
      <c r="P53" s="343" t="s">
        <v>507</v>
      </c>
      <c r="Q53" s="287"/>
      <c r="R53" s="287"/>
      <c r="S53" s="287"/>
      <c r="T53" s="287"/>
      <c r="U53" s="287"/>
      <c r="V53" s="287"/>
      <c r="W53" s="287"/>
      <c r="X53" s="287"/>
      <c r="Y53" s="287"/>
    </row>
    <row r="54" spans="1:25" ht="12.75" customHeight="1">
      <c r="A54" s="655"/>
      <c r="B54" s="655"/>
      <c r="C54" s="340">
        <v>7</v>
      </c>
      <c r="D54" s="340" t="s">
        <v>455</v>
      </c>
      <c r="E54" s="657" t="s">
        <v>499</v>
      </c>
      <c r="F54" s="341"/>
      <c r="G54" s="343" t="s">
        <v>506</v>
      </c>
      <c r="H54" s="344"/>
      <c r="I54" s="655"/>
      <c r="J54" s="655"/>
      <c r="K54" s="340">
        <v>7</v>
      </c>
      <c r="L54" s="340" t="s">
        <v>455</v>
      </c>
      <c r="M54" s="657" t="s">
        <v>499</v>
      </c>
      <c r="N54" s="341"/>
      <c r="O54" s="343" t="s">
        <v>506</v>
      </c>
      <c r="P54" s="344"/>
      <c r="Q54" s="287"/>
      <c r="R54" s="287"/>
      <c r="S54" s="287"/>
      <c r="T54" s="287"/>
      <c r="U54" s="287"/>
      <c r="V54" s="287"/>
      <c r="W54" s="287"/>
      <c r="X54" s="287"/>
      <c r="Y54" s="287"/>
    </row>
    <row r="55" spans="1:25" ht="12.75" customHeight="1">
      <c r="A55" s="655"/>
      <c r="B55" s="655"/>
      <c r="C55" s="340">
        <v>8</v>
      </c>
      <c r="D55" s="340" t="s">
        <v>456</v>
      </c>
      <c r="E55" s="657"/>
      <c r="F55" s="341"/>
      <c r="G55" s="345"/>
      <c r="H55" s="343" t="s">
        <v>507</v>
      </c>
      <c r="I55" s="655"/>
      <c r="J55" s="655"/>
      <c r="K55" s="340">
        <v>8</v>
      </c>
      <c r="L55" s="340" t="s">
        <v>456</v>
      </c>
      <c r="M55" s="657"/>
      <c r="N55" s="341"/>
      <c r="O55" s="345"/>
      <c r="P55" s="343" t="s">
        <v>507</v>
      </c>
      <c r="Q55" s="287"/>
      <c r="R55" s="287"/>
      <c r="S55" s="287"/>
      <c r="T55" s="287"/>
      <c r="U55" s="287"/>
      <c r="V55" s="287"/>
      <c r="W55" s="287"/>
      <c r="X55" s="287"/>
      <c r="Y55" s="287"/>
    </row>
    <row r="56" spans="1:25" ht="12.75" customHeight="1">
      <c r="A56" s="655"/>
      <c r="B56" s="655"/>
      <c r="C56" s="340">
        <v>9</v>
      </c>
      <c r="D56" s="340" t="s">
        <v>457</v>
      </c>
      <c r="E56" s="657" t="s">
        <v>499</v>
      </c>
      <c r="F56" s="341"/>
      <c r="G56" s="343" t="s">
        <v>506</v>
      </c>
      <c r="H56" s="344"/>
      <c r="I56" s="655"/>
      <c r="J56" s="655"/>
      <c r="K56" s="340">
        <v>9</v>
      </c>
      <c r="L56" s="340" t="s">
        <v>457</v>
      </c>
      <c r="M56" s="657" t="s">
        <v>499</v>
      </c>
      <c r="N56" s="341"/>
      <c r="O56" s="343" t="s">
        <v>506</v>
      </c>
      <c r="P56" s="344"/>
      <c r="Q56" s="287"/>
      <c r="R56" s="287"/>
      <c r="S56" s="287"/>
      <c r="T56" s="287"/>
      <c r="U56" s="287"/>
      <c r="V56" s="287"/>
      <c r="W56" s="287"/>
      <c r="X56" s="287"/>
      <c r="Y56" s="287"/>
    </row>
    <row r="57" spans="1:25" ht="12.75" customHeight="1">
      <c r="A57" s="655"/>
      <c r="B57" s="655"/>
      <c r="C57" s="340">
        <v>10</v>
      </c>
      <c r="D57" s="340" t="s">
        <v>458</v>
      </c>
      <c r="E57" s="657"/>
      <c r="F57" s="341"/>
      <c r="G57" s="345"/>
      <c r="H57" s="343" t="s">
        <v>507</v>
      </c>
      <c r="I57" s="655"/>
      <c r="J57" s="655"/>
      <c r="K57" s="340">
        <v>10</v>
      </c>
      <c r="L57" s="340" t="s">
        <v>458</v>
      </c>
      <c r="M57" s="657"/>
      <c r="N57" s="341"/>
      <c r="O57" s="345"/>
      <c r="P57" s="343" t="s">
        <v>507</v>
      </c>
      <c r="Q57" s="287"/>
      <c r="R57" s="287"/>
      <c r="S57" s="287"/>
      <c r="T57" s="287"/>
      <c r="U57" s="287"/>
      <c r="V57" s="287"/>
      <c r="W57" s="287"/>
      <c r="X57" s="287"/>
      <c r="Y57" s="287"/>
    </row>
    <row r="58" spans="1:25" ht="12.75" customHeight="1">
      <c r="A58" s="655"/>
      <c r="B58" s="655"/>
      <c r="C58" s="340">
        <v>11</v>
      </c>
      <c r="D58" s="340" t="s">
        <v>459</v>
      </c>
      <c r="E58" s="658"/>
      <c r="F58" s="341"/>
      <c r="G58" s="341"/>
      <c r="H58" s="341"/>
      <c r="I58" s="655"/>
      <c r="J58" s="655"/>
      <c r="K58" s="340">
        <v>11</v>
      </c>
      <c r="L58" s="340" t="s">
        <v>459</v>
      </c>
      <c r="M58" s="658"/>
      <c r="N58" s="341"/>
      <c r="O58" s="341"/>
      <c r="P58" s="341"/>
      <c r="Q58" s="287"/>
      <c r="R58" s="287"/>
      <c r="S58" s="287"/>
      <c r="T58" s="287"/>
      <c r="U58" s="287"/>
      <c r="V58" s="287"/>
      <c r="W58" s="287"/>
      <c r="X58" s="287"/>
      <c r="Y58" s="287"/>
    </row>
    <row r="59" spans="1:25" ht="12.75" customHeight="1">
      <c r="A59" s="604"/>
      <c r="B59" s="604"/>
      <c r="C59" s="340">
        <v>12</v>
      </c>
      <c r="D59" s="340" t="s">
        <v>460</v>
      </c>
      <c r="E59" s="659"/>
      <c r="F59" s="341"/>
      <c r="G59" s="341"/>
      <c r="H59" s="341"/>
      <c r="I59" s="604"/>
      <c r="J59" s="604"/>
      <c r="K59" s="340">
        <v>12</v>
      </c>
      <c r="L59" s="340" t="s">
        <v>460</v>
      </c>
      <c r="M59" s="659"/>
      <c r="N59" s="341"/>
      <c r="O59" s="341"/>
      <c r="P59" s="341"/>
      <c r="Q59" s="287"/>
      <c r="R59" s="287"/>
      <c r="S59" s="287"/>
      <c r="T59" s="287"/>
      <c r="U59" s="287"/>
      <c r="V59" s="287"/>
      <c r="W59" s="287"/>
      <c r="X59" s="287"/>
      <c r="Y59" s="287"/>
    </row>
    <row r="60" spans="1:25" ht="12.75" customHeight="1">
      <c r="A60" s="338"/>
      <c r="B60" s="338"/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38"/>
      <c r="N60" s="337"/>
      <c r="O60" s="287"/>
      <c r="P60" s="338"/>
      <c r="Q60" s="287"/>
      <c r="R60" s="287"/>
      <c r="S60" s="287"/>
      <c r="T60" s="287"/>
      <c r="U60" s="287"/>
      <c r="V60" s="287"/>
      <c r="W60" s="287"/>
      <c r="X60" s="287"/>
      <c r="Y60" s="287"/>
    </row>
    <row r="61" spans="1:25" ht="12.75" customHeight="1">
      <c r="A61" s="337"/>
      <c r="B61" s="337"/>
      <c r="C61" s="337"/>
      <c r="D61" s="337"/>
      <c r="E61" s="337"/>
      <c r="F61" s="337"/>
      <c r="G61" s="337"/>
      <c r="H61" s="337"/>
      <c r="I61" s="337"/>
      <c r="J61" s="337"/>
      <c r="K61" s="337"/>
      <c r="L61" s="337"/>
      <c r="M61" s="337"/>
      <c r="N61" s="337"/>
      <c r="O61" s="287"/>
      <c r="P61" s="337"/>
      <c r="Q61" s="287"/>
      <c r="R61" s="287"/>
      <c r="S61" s="287"/>
      <c r="T61" s="287"/>
      <c r="U61" s="287"/>
      <c r="V61" s="287"/>
      <c r="W61" s="287"/>
      <c r="X61" s="287"/>
      <c r="Y61" s="287"/>
    </row>
    <row r="62" spans="1:25" ht="12.75" customHeight="1">
      <c r="A62" s="282" t="s">
        <v>47</v>
      </c>
      <c r="B62" s="293"/>
      <c r="C62" s="293"/>
      <c r="D62" s="293"/>
      <c r="E62" s="293"/>
      <c r="J62" s="337"/>
      <c r="K62" s="337"/>
      <c r="L62" s="333"/>
      <c r="M62" s="337"/>
      <c r="N62" s="337"/>
      <c r="O62" s="287"/>
      <c r="Q62" s="287"/>
      <c r="R62" s="336"/>
      <c r="S62" s="287"/>
      <c r="T62" s="336"/>
      <c r="U62" s="287"/>
      <c r="V62" s="287"/>
      <c r="W62" s="287"/>
      <c r="X62" s="287"/>
      <c r="Y62" s="287"/>
    </row>
    <row r="63" spans="1:25" ht="13.5" customHeight="1">
      <c r="F63" s="291"/>
      <c r="G63" s="291"/>
      <c r="H63" s="291"/>
      <c r="I63" s="287"/>
      <c r="J63" s="287"/>
      <c r="K63" s="287"/>
      <c r="L63" s="333"/>
      <c r="M63" s="287"/>
      <c r="N63" s="287"/>
      <c r="P63" s="291"/>
    </row>
    <row r="64" spans="1:25" ht="13.5" customHeight="1">
      <c r="A64" s="282" t="s">
        <v>467</v>
      </c>
      <c r="B64" s="282"/>
      <c r="C64" s="282"/>
      <c r="D64" s="282"/>
      <c r="E64" s="282"/>
      <c r="G64" s="282"/>
      <c r="H64" s="282"/>
      <c r="I64" s="282"/>
      <c r="J64" s="287"/>
      <c r="K64" s="287"/>
      <c r="M64" s="282" t="s">
        <v>49</v>
      </c>
      <c r="N64" s="287"/>
      <c r="O64" s="287"/>
      <c r="P64" s="282"/>
    </row>
    <row r="65" spans="1:16" ht="18" customHeight="1">
      <c r="A65" s="286"/>
      <c r="B65" s="290"/>
      <c r="C65" s="290"/>
      <c r="D65" s="290"/>
      <c r="E65" s="290"/>
      <c r="G65" s="290"/>
      <c r="H65" s="290"/>
      <c r="I65" s="290"/>
      <c r="J65" s="287"/>
      <c r="K65" s="287"/>
      <c r="M65" s="287"/>
      <c r="N65" s="287"/>
      <c r="O65" s="287"/>
      <c r="P65" s="290"/>
    </row>
    <row r="66" spans="1:16" ht="18" customHeight="1">
      <c r="A66" s="597" t="str">
        <f>"Name: " &amp; 'support table'!$B$10</f>
        <v>Name: [REP_VENDOR]</v>
      </c>
      <c r="B66" s="598"/>
      <c r="C66" s="598"/>
      <c r="D66" s="598"/>
      <c r="E66" s="598"/>
      <c r="G66" s="303"/>
      <c r="H66" s="303"/>
      <c r="I66" s="303"/>
      <c r="J66" s="287"/>
      <c r="K66" s="287"/>
      <c r="M66" s="288" t="str">
        <f>"Name: " &amp; 'support table'!$B$13</f>
        <v>Name: [REP_CUSTOMER]</v>
      </c>
      <c r="N66" s="330"/>
      <c r="O66" s="330"/>
      <c r="P66" s="335"/>
    </row>
    <row r="67" spans="1:16" ht="18" customHeight="1">
      <c r="A67" s="660" t="s">
        <v>51</v>
      </c>
      <c r="B67" s="600"/>
      <c r="C67" s="285"/>
      <c r="D67" s="285"/>
      <c r="E67" s="285"/>
      <c r="G67" s="285"/>
      <c r="H67" s="285"/>
      <c r="I67" s="285"/>
      <c r="J67" s="287"/>
      <c r="K67" s="287"/>
      <c r="M67" s="334" t="s">
        <v>51</v>
      </c>
      <c r="N67" s="287"/>
      <c r="O67" s="287"/>
      <c r="P67" s="285"/>
    </row>
    <row r="68" spans="1:16" ht="18" customHeight="1">
      <c r="A68" s="301" t="s">
        <v>52</v>
      </c>
      <c r="B68" s="333"/>
      <c r="C68" s="333"/>
      <c r="D68" s="333"/>
      <c r="E68" s="333"/>
      <c r="G68" s="301"/>
      <c r="H68" s="301"/>
      <c r="I68" s="301"/>
      <c r="J68" s="287"/>
      <c r="K68" s="287"/>
      <c r="M68" s="301" t="s">
        <v>52</v>
      </c>
      <c r="N68" s="333"/>
      <c r="O68" s="287"/>
      <c r="P68" s="301"/>
    </row>
    <row r="69" spans="1:16" ht="18" customHeight="1">
      <c r="A69" s="661"/>
      <c r="B69" s="598"/>
      <c r="C69" s="598"/>
      <c r="D69" s="598"/>
      <c r="E69" s="598"/>
      <c r="G69" s="297"/>
      <c r="H69" s="297"/>
      <c r="I69" s="297"/>
      <c r="J69" s="287"/>
      <c r="K69" s="287"/>
      <c r="M69" s="332"/>
      <c r="N69" s="330"/>
      <c r="O69" s="330"/>
      <c r="P69" s="330"/>
    </row>
    <row r="70" spans="1:16" ht="18" customHeight="1">
      <c r="A70" s="592" t="s">
        <v>54</v>
      </c>
      <c r="B70" s="593"/>
      <c r="C70" s="281"/>
      <c r="D70" s="281"/>
      <c r="E70" s="281"/>
      <c r="G70" s="301"/>
      <c r="H70" s="301"/>
      <c r="I70" s="301"/>
      <c r="J70" s="287"/>
      <c r="K70" s="287"/>
      <c r="M70" s="281" t="s">
        <v>54</v>
      </c>
      <c r="N70" s="331"/>
      <c r="O70" s="330"/>
      <c r="P70" s="301"/>
    </row>
    <row r="71" spans="1:16" ht="12.75" customHeight="1"/>
    <row r="72" spans="1:16" ht="12.75" customHeight="1"/>
    <row r="73" spans="1:16" ht="12.75" customHeight="1"/>
    <row r="74" spans="1:16" ht="12.75" customHeight="1"/>
    <row r="75" spans="1:16" ht="12.75" customHeight="1"/>
    <row r="76" spans="1:16" ht="12.75" customHeight="1"/>
    <row r="77" spans="1:16" ht="12.75" customHeight="1"/>
    <row r="78" spans="1:16" ht="12.75" customHeight="1"/>
    <row r="79" spans="1:16" ht="12.75" customHeight="1"/>
    <row r="80" spans="1:16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M30:M31"/>
    <mergeCell ref="M32:M33"/>
    <mergeCell ref="E26:E27"/>
    <mergeCell ref="E28:E29"/>
    <mergeCell ref="E30:E31"/>
    <mergeCell ref="E32:E33"/>
    <mergeCell ref="I24:I35"/>
    <mergeCell ref="J24:J35"/>
    <mergeCell ref="E34:E35"/>
    <mergeCell ref="M20:M21"/>
    <mergeCell ref="M22:M23"/>
    <mergeCell ref="M24:M25"/>
    <mergeCell ref="M26:M27"/>
    <mergeCell ref="M28:M29"/>
    <mergeCell ref="M16:M17"/>
    <mergeCell ref="M12:M13"/>
    <mergeCell ref="M18:M19"/>
    <mergeCell ref="N10:N11"/>
    <mergeCell ref="O10:P10"/>
    <mergeCell ref="M14:M15"/>
    <mergeCell ref="A1:P3"/>
    <mergeCell ref="A10:B10"/>
    <mergeCell ref="C10:D10"/>
    <mergeCell ref="E10:E11"/>
    <mergeCell ref="F10:F11"/>
    <mergeCell ref="G10:H10"/>
    <mergeCell ref="I10:J10"/>
    <mergeCell ref="M10:M11"/>
    <mergeCell ref="K10:L10"/>
    <mergeCell ref="A67:B67"/>
    <mergeCell ref="A69:E69"/>
    <mergeCell ref="A70:B70"/>
    <mergeCell ref="E44:E45"/>
    <mergeCell ref="E46:E47"/>
    <mergeCell ref="A48:A59"/>
    <mergeCell ref="B48:B59"/>
    <mergeCell ref="E48:E49"/>
    <mergeCell ref="E58:E59"/>
    <mergeCell ref="M34:M35"/>
    <mergeCell ref="E36:E37"/>
    <mergeCell ref="M36:M37"/>
    <mergeCell ref="M38:M39"/>
    <mergeCell ref="A66:E66"/>
    <mergeCell ref="A36:A47"/>
    <mergeCell ref="B36:B47"/>
    <mergeCell ref="M54:M55"/>
    <mergeCell ref="M56:M57"/>
    <mergeCell ref="M58:M59"/>
    <mergeCell ref="E50:E51"/>
    <mergeCell ref="E52:E53"/>
    <mergeCell ref="E54:E55"/>
    <mergeCell ref="E56:E57"/>
    <mergeCell ref="I48:I59"/>
    <mergeCell ref="E38:E39"/>
    <mergeCell ref="E40:E41"/>
    <mergeCell ref="E42:E43"/>
    <mergeCell ref="M40:M41"/>
    <mergeCell ref="M42:M43"/>
    <mergeCell ref="M48:M49"/>
    <mergeCell ref="M50:M51"/>
    <mergeCell ref="M52:M53"/>
    <mergeCell ref="I36:I47"/>
    <mergeCell ref="J36:J47"/>
    <mergeCell ref="J48:J59"/>
    <mergeCell ref="M44:M45"/>
    <mergeCell ref="M46:M47"/>
    <mergeCell ref="I12:I23"/>
    <mergeCell ref="J12:J23"/>
    <mergeCell ref="E18:E19"/>
    <mergeCell ref="E16:E17"/>
    <mergeCell ref="E20:E21"/>
    <mergeCell ref="E22:E23"/>
    <mergeCell ref="E12:E13"/>
    <mergeCell ref="E14:E15"/>
    <mergeCell ref="A24:A35"/>
    <mergeCell ref="B24:B35"/>
    <mergeCell ref="E24:E25"/>
    <mergeCell ref="A12:A23"/>
    <mergeCell ref="B12:B23"/>
  </mergeCells>
  <pageMargins left="0.7" right="0.7" top="0.75" bottom="0.75" header="0" footer="0"/>
  <pageSetup scale="48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8F7B-5D24-4537-8B35-7F35A8E1BBF0}">
  <sheetPr>
    <tabColor rgb="FF00FF00"/>
  </sheetPr>
  <dimension ref="A1:Z1000"/>
  <sheetViews>
    <sheetView showGridLines="0" zoomScaleNormal="100" workbookViewId="0">
      <selection activeCell="A5" sqref="A5"/>
    </sheetView>
  </sheetViews>
  <sheetFormatPr defaultColWidth="12.7109375" defaultRowHeight="15" customHeight="1"/>
  <cols>
    <col min="1" max="1" width="6.7109375" style="388" customWidth="1"/>
    <col min="2" max="2" width="8.28515625" style="388" customWidth="1"/>
    <col min="3" max="3" width="5" style="388" customWidth="1"/>
    <col min="4" max="4" width="9" style="388" customWidth="1"/>
    <col min="5" max="5" width="11.7109375" style="388" customWidth="1"/>
    <col min="6" max="6" width="15.28515625" style="388" customWidth="1"/>
    <col min="7" max="8" width="11.7109375" style="388" customWidth="1"/>
    <col min="9" max="9" width="15.28515625" style="388" customWidth="1"/>
    <col min="10" max="10" width="15.7109375" style="388" customWidth="1"/>
    <col min="11" max="11" width="11.7109375" style="388" customWidth="1"/>
    <col min="12" max="12" width="15.28515625" style="388" customWidth="1"/>
    <col min="13" max="13" width="11.7109375" style="388" customWidth="1"/>
    <col min="14" max="26" width="7" style="388" customWidth="1"/>
    <col min="27" max="16384" width="12.7109375" style="388"/>
  </cols>
  <sheetData>
    <row r="1" spans="1:26" ht="13.5" customHeight="1">
      <c r="A1" s="662" t="s">
        <v>545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</row>
    <row r="2" spans="1:26" ht="13.5" customHeight="1">
      <c r="A2" s="595"/>
      <c r="B2" s="595"/>
      <c r="C2" s="595"/>
      <c r="D2" s="595"/>
      <c r="E2" s="595"/>
      <c r="F2" s="595"/>
      <c r="G2" s="595"/>
      <c r="H2" s="595"/>
      <c r="I2" s="595"/>
      <c r="J2" s="595"/>
      <c r="K2" s="595"/>
      <c r="L2" s="595"/>
      <c r="M2" s="595"/>
    </row>
    <row r="3" spans="1:26" ht="13.5" customHeight="1">
      <c r="A3" s="595"/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</row>
    <row r="4" spans="1:26" ht="18.75" customHeight="1" thickBo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</row>
    <row r="5" spans="1:26" ht="20.25" customHeight="1" thickTop="1">
      <c r="A5" s="353"/>
      <c r="B5" s="353"/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353"/>
    </row>
    <row r="6" spans="1:26" ht="16.5" customHeight="1">
      <c r="A6" s="395" t="s">
        <v>373</v>
      </c>
      <c r="B6" s="317"/>
      <c r="C6" s="383" t="s">
        <v>317</v>
      </c>
      <c r="D6" s="328" t="str">
        <f>'support table'!$B$1</f>
        <v>[NAMA_PROYEK]</v>
      </c>
      <c r="E6" s="328"/>
      <c r="F6" s="396"/>
      <c r="G6" s="397"/>
      <c r="H6" s="317"/>
      <c r="I6" s="294" t="s">
        <v>434</v>
      </c>
      <c r="J6" s="398" t="str">
        <f>_xlfn.SINGLE('[1]OTDR Summary 1310 '!J6)</f>
        <v xml:space="preserve">: </v>
      </c>
      <c r="K6" s="300"/>
      <c r="L6" s="396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</row>
    <row r="7" spans="1:26" ht="28.9" customHeight="1">
      <c r="A7" s="395" t="s">
        <v>435</v>
      </c>
      <c r="B7" s="317"/>
      <c r="C7" s="383" t="s">
        <v>317</v>
      </c>
      <c r="D7" s="399" t="str">
        <f>'support table'!$B$7</f>
        <v>[ID_FDT_FROM]</v>
      </c>
      <c r="E7" s="328"/>
      <c r="F7" s="396"/>
      <c r="G7" s="317"/>
      <c r="H7" s="317"/>
      <c r="I7" s="294" t="s">
        <v>518</v>
      </c>
      <c r="J7" s="690" t="str">
        <f>'support table'!$B$5</f>
        <v>[ALAMAT]</v>
      </c>
      <c r="K7" s="690"/>
      <c r="L7" s="690"/>
      <c r="M7" s="321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</row>
    <row r="8" spans="1:26" ht="16.5" customHeight="1">
      <c r="A8" s="395" t="s">
        <v>519</v>
      </c>
      <c r="B8" s="303"/>
      <c r="C8" s="383" t="s">
        <v>317</v>
      </c>
      <c r="D8" s="400" t="str">
        <f>'support table'!$B$6</f>
        <v>[NAMA_OLT]</v>
      </c>
      <c r="E8" s="401"/>
      <c r="F8" s="402"/>
      <c r="G8" s="403"/>
      <c r="H8" s="404"/>
      <c r="I8" s="294" t="s">
        <v>438</v>
      </c>
      <c r="J8" s="405" t="str">
        <f>'support table'!$B$7</f>
        <v>[ID_FDT_FROM]</v>
      </c>
      <c r="K8" s="402"/>
      <c r="L8" s="300"/>
      <c r="M8" s="4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</row>
    <row r="9" spans="1:26" ht="13.5" customHeight="1" thickBot="1">
      <c r="A9" s="337"/>
      <c r="B9" s="338"/>
      <c r="C9" s="338"/>
      <c r="D9" s="338"/>
      <c r="E9" s="338"/>
      <c r="F9" s="337"/>
      <c r="G9" s="337"/>
      <c r="H9" s="338"/>
      <c r="I9" s="337"/>
      <c r="J9" s="338"/>
      <c r="K9" s="337"/>
      <c r="L9" s="337"/>
      <c r="M9" s="338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</row>
    <row r="10" spans="1:26" ht="20.25" customHeight="1" thickBot="1">
      <c r="A10" s="691" t="s">
        <v>520</v>
      </c>
      <c r="B10" s="683"/>
      <c r="C10" s="683"/>
      <c r="D10" s="684"/>
      <c r="E10" s="692" t="s">
        <v>521</v>
      </c>
      <c r="F10" s="683"/>
      <c r="G10" s="683"/>
      <c r="H10" s="683"/>
      <c r="I10" s="683"/>
      <c r="J10" s="683"/>
      <c r="K10" s="683"/>
      <c r="L10" s="683"/>
      <c r="M10" s="684"/>
    </row>
    <row r="11" spans="1:26" ht="15.75" customHeight="1" thickBot="1">
      <c r="A11" s="406" t="s">
        <v>522</v>
      </c>
      <c r="B11" s="407" t="s">
        <v>523</v>
      </c>
      <c r="C11" s="408"/>
      <c r="D11" s="409"/>
      <c r="E11" s="693" t="s">
        <v>524</v>
      </c>
      <c r="F11" s="683"/>
      <c r="G11" s="684"/>
      <c r="H11" s="693" t="s">
        <v>525</v>
      </c>
      <c r="I11" s="683"/>
      <c r="J11" s="684"/>
      <c r="K11" s="693" t="s">
        <v>525</v>
      </c>
      <c r="L11" s="683"/>
      <c r="M11" s="684"/>
    </row>
    <row r="12" spans="1:26" ht="15.75" customHeight="1" thickBot="1">
      <c r="A12" s="410"/>
      <c r="B12" s="411" t="s">
        <v>526</v>
      </c>
      <c r="C12" s="412"/>
      <c r="D12" s="413"/>
      <c r="E12" s="682" t="s">
        <v>442</v>
      </c>
      <c r="F12" s="683"/>
      <c r="G12" s="684"/>
      <c r="H12" s="682" t="s">
        <v>442</v>
      </c>
      <c r="I12" s="683"/>
      <c r="J12" s="684"/>
      <c r="K12" s="685" t="s">
        <v>442</v>
      </c>
      <c r="L12" s="686"/>
      <c r="M12" s="687"/>
    </row>
    <row r="13" spans="1:26" ht="15.75" customHeight="1">
      <c r="A13" s="408" t="s">
        <v>527</v>
      </c>
      <c r="B13" s="412"/>
      <c r="C13" s="412"/>
      <c r="D13" s="413"/>
      <c r="E13" s="688" t="s">
        <v>528</v>
      </c>
      <c r="F13" s="414" t="s">
        <v>529</v>
      </c>
      <c r="G13" s="414" t="s">
        <v>530</v>
      </c>
      <c r="H13" s="688" t="s">
        <v>528</v>
      </c>
      <c r="I13" s="414" t="s">
        <v>530</v>
      </c>
      <c r="J13" s="414" t="s">
        <v>530</v>
      </c>
      <c r="K13" s="689" t="s">
        <v>528</v>
      </c>
      <c r="L13" s="415" t="s">
        <v>529</v>
      </c>
      <c r="M13" s="415" t="s">
        <v>530</v>
      </c>
    </row>
    <row r="14" spans="1:26" ht="15.75" customHeight="1" thickBot="1">
      <c r="A14" s="416"/>
      <c r="B14" s="417"/>
      <c r="C14" s="417"/>
      <c r="D14" s="418"/>
      <c r="E14" s="667"/>
      <c r="F14" s="419" t="s">
        <v>531</v>
      </c>
      <c r="G14" s="419" t="s">
        <v>532</v>
      </c>
      <c r="H14" s="667"/>
      <c r="I14" s="419" t="s">
        <v>531</v>
      </c>
      <c r="J14" s="419" t="s">
        <v>532</v>
      </c>
      <c r="K14" s="667"/>
      <c r="L14" s="419" t="s">
        <v>531</v>
      </c>
      <c r="M14" s="419" t="s">
        <v>532</v>
      </c>
    </row>
    <row r="15" spans="1:26" ht="12.75" customHeight="1" thickBot="1">
      <c r="A15" s="678" t="s">
        <v>533</v>
      </c>
      <c r="B15" s="679"/>
      <c r="C15" s="678" t="s">
        <v>534</v>
      </c>
      <c r="D15" s="679"/>
      <c r="E15" s="420"/>
      <c r="F15" s="421"/>
      <c r="G15" s="420"/>
      <c r="H15" s="420"/>
      <c r="I15" s="420"/>
      <c r="J15" s="420"/>
      <c r="K15" s="421"/>
      <c r="L15" s="421"/>
      <c r="M15" s="421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</row>
    <row r="16" spans="1:26" ht="12.75" customHeight="1" thickBot="1">
      <c r="A16" s="680"/>
      <c r="B16" s="681"/>
      <c r="C16" s="680"/>
      <c r="D16" s="681"/>
      <c r="E16" s="682" t="s">
        <v>535</v>
      </c>
      <c r="F16" s="683"/>
      <c r="G16" s="684"/>
      <c r="H16" s="682" t="s">
        <v>535</v>
      </c>
      <c r="I16" s="683"/>
      <c r="J16" s="684"/>
      <c r="K16" s="682" t="s">
        <v>535</v>
      </c>
      <c r="L16" s="683"/>
      <c r="M16" s="684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</row>
    <row r="17" spans="1:26" thickBot="1">
      <c r="A17" s="422" t="s">
        <v>536</v>
      </c>
      <c r="B17" s="422" t="s">
        <v>537</v>
      </c>
      <c r="C17" s="422" t="s">
        <v>536</v>
      </c>
      <c r="D17" s="422" t="s">
        <v>537</v>
      </c>
      <c r="E17" s="423" t="s">
        <v>538</v>
      </c>
      <c r="F17" s="424" t="s">
        <v>442</v>
      </c>
      <c r="G17" s="424" t="s">
        <v>539</v>
      </c>
      <c r="H17" s="425" t="s">
        <v>538</v>
      </c>
      <c r="I17" s="424" t="s">
        <v>442</v>
      </c>
      <c r="J17" s="424" t="s">
        <v>539</v>
      </c>
      <c r="K17" s="425" t="s">
        <v>538</v>
      </c>
      <c r="L17" s="424" t="s">
        <v>442</v>
      </c>
      <c r="M17" s="424" t="s">
        <v>539</v>
      </c>
      <c r="N17" s="303"/>
      <c r="O17" s="303"/>
      <c r="P17" s="303"/>
      <c r="Q17" s="303"/>
      <c r="R17" s="303"/>
      <c r="S17" s="303"/>
      <c r="T17" s="303"/>
      <c r="U17" s="303"/>
      <c r="V17" s="303"/>
      <c r="W17" s="303"/>
      <c r="X17" s="303"/>
      <c r="Y17" s="303"/>
      <c r="Z17" s="303"/>
    </row>
    <row r="18" spans="1:26" ht="15.75" customHeight="1" thickBot="1">
      <c r="A18" s="666">
        <v>1</v>
      </c>
      <c r="B18" s="674" t="s">
        <v>447</v>
      </c>
      <c r="C18" s="666">
        <v>1</v>
      </c>
      <c r="D18" s="666" t="s">
        <v>448</v>
      </c>
      <c r="E18" s="426" t="s">
        <v>540</v>
      </c>
      <c r="F18" s="427" t="s">
        <v>541</v>
      </c>
      <c r="G18" s="671" t="s">
        <v>542</v>
      </c>
      <c r="H18" s="428" t="s">
        <v>540</v>
      </c>
      <c r="I18" s="429"/>
      <c r="J18" s="677"/>
      <c r="K18" s="428" t="s">
        <v>540</v>
      </c>
      <c r="L18" s="429"/>
      <c r="M18" s="668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</row>
    <row r="19" spans="1:26" ht="15.75" customHeight="1" thickBot="1">
      <c r="A19" s="673"/>
      <c r="B19" s="673"/>
      <c r="C19" s="667"/>
      <c r="D19" s="667"/>
      <c r="E19" s="430" t="s">
        <v>543</v>
      </c>
      <c r="F19" s="431"/>
      <c r="G19" s="672"/>
      <c r="H19" s="432" t="s">
        <v>543</v>
      </c>
      <c r="I19" s="433"/>
      <c r="J19" s="669"/>
      <c r="K19" s="432" t="s">
        <v>543</v>
      </c>
      <c r="L19" s="433"/>
      <c r="M19" s="669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</row>
    <row r="20" spans="1:26" ht="15.75" customHeight="1" thickBot="1">
      <c r="A20" s="673"/>
      <c r="B20" s="673"/>
      <c r="C20" s="666">
        <v>2</v>
      </c>
      <c r="D20" s="666" t="s">
        <v>450</v>
      </c>
      <c r="E20" s="426" t="s">
        <v>540</v>
      </c>
      <c r="F20" s="427" t="s">
        <v>541</v>
      </c>
      <c r="G20" s="671" t="s">
        <v>542</v>
      </c>
      <c r="H20" s="428" t="s">
        <v>540</v>
      </c>
      <c r="I20" s="429"/>
      <c r="J20" s="668"/>
      <c r="K20" s="428" t="s">
        <v>540</v>
      </c>
      <c r="L20" s="429"/>
      <c r="M20" s="668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</row>
    <row r="21" spans="1:26" ht="15.75" customHeight="1" thickBot="1">
      <c r="A21" s="673"/>
      <c r="B21" s="673"/>
      <c r="C21" s="667"/>
      <c r="D21" s="667"/>
      <c r="E21" s="430" t="s">
        <v>543</v>
      </c>
      <c r="F21" s="431"/>
      <c r="G21" s="672"/>
      <c r="H21" s="432" t="s">
        <v>543</v>
      </c>
      <c r="I21" s="433"/>
      <c r="J21" s="669"/>
      <c r="K21" s="432" t="s">
        <v>543</v>
      </c>
      <c r="L21" s="433"/>
      <c r="M21" s="669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</row>
    <row r="22" spans="1:26" ht="15.75" customHeight="1" thickBot="1">
      <c r="A22" s="673"/>
      <c r="B22" s="673"/>
      <c r="C22" s="666">
        <v>3</v>
      </c>
      <c r="D22" s="666" t="s">
        <v>451</v>
      </c>
      <c r="E22" s="426" t="s">
        <v>540</v>
      </c>
      <c r="F22" s="427" t="s">
        <v>541</v>
      </c>
      <c r="G22" s="671" t="s">
        <v>542</v>
      </c>
      <c r="H22" s="428" t="s">
        <v>540</v>
      </c>
      <c r="I22" s="429"/>
      <c r="J22" s="668"/>
      <c r="K22" s="428" t="s">
        <v>540</v>
      </c>
      <c r="L22" s="429"/>
      <c r="M22" s="668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</row>
    <row r="23" spans="1:26" ht="15.75" customHeight="1" thickBot="1">
      <c r="A23" s="673"/>
      <c r="B23" s="673"/>
      <c r="C23" s="667"/>
      <c r="D23" s="667"/>
      <c r="E23" s="430" t="s">
        <v>543</v>
      </c>
      <c r="F23" s="431"/>
      <c r="G23" s="672"/>
      <c r="H23" s="432" t="s">
        <v>543</v>
      </c>
      <c r="I23" s="433"/>
      <c r="J23" s="669"/>
      <c r="K23" s="432" t="s">
        <v>543</v>
      </c>
      <c r="L23" s="433"/>
      <c r="M23" s="669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</row>
    <row r="24" spans="1:26" ht="15.75" customHeight="1" thickBot="1">
      <c r="A24" s="673"/>
      <c r="B24" s="673"/>
      <c r="C24" s="666">
        <v>4</v>
      </c>
      <c r="D24" s="666" t="s">
        <v>452</v>
      </c>
      <c r="E24" s="426" t="s">
        <v>540</v>
      </c>
      <c r="F24" s="427" t="s">
        <v>541</v>
      </c>
      <c r="G24" s="671" t="s">
        <v>542</v>
      </c>
      <c r="H24" s="428" t="s">
        <v>540</v>
      </c>
      <c r="I24" s="429"/>
      <c r="J24" s="668"/>
      <c r="K24" s="428" t="s">
        <v>540</v>
      </c>
      <c r="L24" s="429"/>
      <c r="M24" s="668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</row>
    <row r="25" spans="1:26" ht="15.75" customHeight="1" thickBot="1">
      <c r="A25" s="673"/>
      <c r="B25" s="673"/>
      <c r="C25" s="667"/>
      <c r="D25" s="667"/>
      <c r="E25" s="430" t="s">
        <v>543</v>
      </c>
      <c r="F25" s="431"/>
      <c r="G25" s="672"/>
      <c r="H25" s="432" t="s">
        <v>543</v>
      </c>
      <c r="I25" s="433"/>
      <c r="J25" s="669"/>
      <c r="K25" s="432" t="s">
        <v>543</v>
      </c>
      <c r="L25" s="433"/>
      <c r="M25" s="669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</row>
    <row r="26" spans="1:26" ht="15.75" customHeight="1" thickBot="1">
      <c r="A26" s="673"/>
      <c r="B26" s="673"/>
      <c r="C26" s="666">
        <v>5</v>
      </c>
      <c r="D26" s="666" t="s">
        <v>453</v>
      </c>
      <c r="E26" s="426" t="s">
        <v>540</v>
      </c>
      <c r="F26" s="427" t="s">
        <v>541</v>
      </c>
      <c r="G26" s="671" t="s">
        <v>542</v>
      </c>
      <c r="H26" s="428" t="s">
        <v>540</v>
      </c>
      <c r="I26" s="429"/>
      <c r="J26" s="668"/>
      <c r="K26" s="428" t="s">
        <v>540</v>
      </c>
      <c r="L26" s="429"/>
      <c r="M26" s="668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</row>
    <row r="27" spans="1:26" ht="15.75" customHeight="1" thickBot="1">
      <c r="A27" s="673"/>
      <c r="B27" s="673"/>
      <c r="C27" s="667"/>
      <c r="D27" s="667"/>
      <c r="E27" s="430" t="s">
        <v>543</v>
      </c>
      <c r="F27" s="431"/>
      <c r="G27" s="672"/>
      <c r="H27" s="432" t="s">
        <v>543</v>
      </c>
      <c r="I27" s="433"/>
      <c r="J27" s="669"/>
      <c r="K27" s="432" t="s">
        <v>543</v>
      </c>
      <c r="L27" s="433"/>
      <c r="M27" s="669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</row>
    <row r="28" spans="1:26" ht="15.75" customHeight="1" thickBot="1">
      <c r="A28" s="673"/>
      <c r="B28" s="673"/>
      <c r="C28" s="666">
        <v>6</v>
      </c>
      <c r="D28" s="666" t="s">
        <v>454</v>
      </c>
      <c r="E28" s="426" t="s">
        <v>540</v>
      </c>
      <c r="F28" s="427" t="s">
        <v>541</v>
      </c>
      <c r="G28" s="671" t="s">
        <v>542</v>
      </c>
      <c r="H28" s="428" t="s">
        <v>540</v>
      </c>
      <c r="I28" s="429"/>
      <c r="J28" s="668"/>
      <c r="K28" s="428" t="s">
        <v>540</v>
      </c>
      <c r="L28" s="429"/>
      <c r="M28" s="668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</row>
    <row r="29" spans="1:26" ht="15.75" customHeight="1" thickBot="1">
      <c r="A29" s="673"/>
      <c r="B29" s="673"/>
      <c r="C29" s="667"/>
      <c r="D29" s="667"/>
      <c r="E29" s="430" t="s">
        <v>543</v>
      </c>
      <c r="F29" s="431"/>
      <c r="G29" s="672"/>
      <c r="H29" s="432" t="s">
        <v>543</v>
      </c>
      <c r="I29" s="433"/>
      <c r="J29" s="669"/>
      <c r="K29" s="432" t="s">
        <v>543</v>
      </c>
      <c r="L29" s="433"/>
      <c r="M29" s="669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</row>
    <row r="30" spans="1:26" ht="15.75" customHeight="1" thickBot="1">
      <c r="A30" s="673"/>
      <c r="B30" s="673"/>
      <c r="C30" s="666">
        <v>7</v>
      </c>
      <c r="D30" s="666" t="s">
        <v>455</v>
      </c>
      <c r="E30" s="426" t="s">
        <v>540</v>
      </c>
      <c r="F30" s="427" t="s">
        <v>541</v>
      </c>
      <c r="G30" s="671" t="s">
        <v>542</v>
      </c>
      <c r="H30" s="428" t="s">
        <v>540</v>
      </c>
      <c r="I30" s="429"/>
      <c r="J30" s="668"/>
      <c r="K30" s="428" t="s">
        <v>540</v>
      </c>
      <c r="L30" s="429"/>
      <c r="M30" s="668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</row>
    <row r="31" spans="1:26" ht="15.75" customHeight="1" thickBot="1">
      <c r="A31" s="673"/>
      <c r="B31" s="673"/>
      <c r="C31" s="667"/>
      <c r="D31" s="667"/>
      <c r="E31" s="430" t="s">
        <v>543</v>
      </c>
      <c r="F31" s="431"/>
      <c r="G31" s="672"/>
      <c r="H31" s="432" t="s">
        <v>543</v>
      </c>
      <c r="I31" s="433"/>
      <c r="J31" s="669"/>
      <c r="K31" s="432" t="s">
        <v>543</v>
      </c>
      <c r="L31" s="433"/>
      <c r="M31" s="669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</row>
    <row r="32" spans="1:26" ht="15.75" customHeight="1" thickBot="1">
      <c r="A32" s="673"/>
      <c r="B32" s="673"/>
      <c r="C32" s="666">
        <v>8</v>
      </c>
      <c r="D32" s="666" t="s">
        <v>456</v>
      </c>
      <c r="E32" s="426" t="s">
        <v>540</v>
      </c>
      <c r="F32" s="427" t="s">
        <v>541</v>
      </c>
      <c r="G32" s="671" t="s">
        <v>542</v>
      </c>
      <c r="H32" s="428" t="s">
        <v>540</v>
      </c>
      <c r="I32" s="429"/>
      <c r="J32" s="668"/>
      <c r="K32" s="428" t="s">
        <v>540</v>
      </c>
      <c r="L32" s="429"/>
      <c r="M32" s="668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</row>
    <row r="33" spans="1:26" ht="15.75" customHeight="1" thickBot="1">
      <c r="A33" s="673"/>
      <c r="B33" s="673"/>
      <c r="C33" s="667"/>
      <c r="D33" s="667"/>
      <c r="E33" s="430" t="s">
        <v>543</v>
      </c>
      <c r="F33" s="431"/>
      <c r="G33" s="672"/>
      <c r="H33" s="432" t="s">
        <v>543</v>
      </c>
      <c r="I33" s="433"/>
      <c r="J33" s="669"/>
      <c r="K33" s="432" t="s">
        <v>543</v>
      </c>
      <c r="L33" s="433"/>
      <c r="M33" s="669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</row>
    <row r="34" spans="1:26" ht="15.75" customHeight="1" thickBot="1">
      <c r="A34" s="673"/>
      <c r="B34" s="673"/>
      <c r="C34" s="666">
        <v>9</v>
      </c>
      <c r="D34" s="666" t="s">
        <v>457</v>
      </c>
      <c r="E34" s="426" t="s">
        <v>540</v>
      </c>
      <c r="F34" s="427" t="s">
        <v>541</v>
      </c>
      <c r="G34" s="671" t="s">
        <v>542</v>
      </c>
      <c r="H34" s="428" t="s">
        <v>540</v>
      </c>
      <c r="I34" s="429"/>
      <c r="J34" s="668"/>
      <c r="K34" s="428" t="s">
        <v>540</v>
      </c>
      <c r="L34" s="429"/>
      <c r="M34" s="668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</row>
    <row r="35" spans="1:26" ht="15.75" customHeight="1" thickBot="1">
      <c r="A35" s="673"/>
      <c r="B35" s="673"/>
      <c r="C35" s="667"/>
      <c r="D35" s="667"/>
      <c r="E35" s="430" t="s">
        <v>543</v>
      </c>
      <c r="F35" s="431"/>
      <c r="G35" s="672"/>
      <c r="H35" s="432" t="s">
        <v>543</v>
      </c>
      <c r="I35" s="433"/>
      <c r="J35" s="669"/>
      <c r="K35" s="432" t="s">
        <v>543</v>
      </c>
      <c r="L35" s="433"/>
      <c r="M35" s="669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</row>
    <row r="36" spans="1:26" ht="15.75" customHeight="1" thickBot="1">
      <c r="A36" s="673"/>
      <c r="B36" s="673"/>
      <c r="C36" s="666">
        <v>10</v>
      </c>
      <c r="D36" s="666" t="s">
        <v>458</v>
      </c>
      <c r="E36" s="426" t="s">
        <v>540</v>
      </c>
      <c r="F36" s="427" t="s">
        <v>541</v>
      </c>
      <c r="G36" s="671" t="s">
        <v>542</v>
      </c>
      <c r="H36" s="428" t="s">
        <v>540</v>
      </c>
      <c r="I36" s="429"/>
      <c r="J36" s="668"/>
      <c r="K36" s="428" t="s">
        <v>540</v>
      </c>
      <c r="L36" s="429"/>
      <c r="M36" s="668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</row>
    <row r="37" spans="1:26" ht="15.75" customHeight="1" thickBot="1">
      <c r="A37" s="673"/>
      <c r="B37" s="673"/>
      <c r="C37" s="667"/>
      <c r="D37" s="667"/>
      <c r="E37" s="430" t="s">
        <v>543</v>
      </c>
      <c r="F37" s="431"/>
      <c r="G37" s="672"/>
      <c r="H37" s="432" t="s">
        <v>543</v>
      </c>
      <c r="I37" s="433"/>
      <c r="J37" s="669"/>
      <c r="K37" s="432" t="s">
        <v>543</v>
      </c>
      <c r="L37" s="433"/>
      <c r="M37" s="669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</row>
    <row r="38" spans="1:26" ht="15.75" customHeight="1">
      <c r="A38" s="673"/>
      <c r="B38" s="673"/>
      <c r="C38" s="666">
        <v>11</v>
      </c>
      <c r="D38" s="666" t="s">
        <v>459</v>
      </c>
      <c r="E38" s="426" t="s">
        <v>540</v>
      </c>
      <c r="F38" s="434"/>
      <c r="G38" s="675"/>
      <c r="H38" s="428" t="s">
        <v>540</v>
      </c>
      <c r="I38" s="429"/>
      <c r="J38" s="668"/>
      <c r="K38" s="428" t="s">
        <v>540</v>
      </c>
      <c r="L38" s="429"/>
      <c r="M38" s="668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</row>
    <row r="39" spans="1:26" ht="15.75" customHeight="1" thickBot="1">
      <c r="A39" s="673"/>
      <c r="B39" s="673"/>
      <c r="C39" s="667"/>
      <c r="D39" s="667"/>
      <c r="E39" s="430" t="s">
        <v>543</v>
      </c>
      <c r="F39" s="435"/>
      <c r="G39" s="676"/>
      <c r="H39" s="432" t="s">
        <v>543</v>
      </c>
      <c r="I39" s="433"/>
      <c r="J39" s="669"/>
      <c r="K39" s="432" t="s">
        <v>543</v>
      </c>
      <c r="L39" s="433"/>
      <c r="M39" s="669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</row>
    <row r="40" spans="1:26" ht="15.75" customHeight="1">
      <c r="A40" s="673"/>
      <c r="B40" s="673"/>
      <c r="C40" s="666">
        <v>12</v>
      </c>
      <c r="D40" s="666" t="s">
        <v>460</v>
      </c>
      <c r="E40" s="426" t="s">
        <v>540</v>
      </c>
      <c r="F40" s="429"/>
      <c r="G40" s="668"/>
      <c r="H40" s="428" t="s">
        <v>540</v>
      </c>
      <c r="I40" s="429"/>
      <c r="J40" s="668"/>
      <c r="K40" s="428" t="s">
        <v>540</v>
      </c>
      <c r="L40" s="429"/>
      <c r="M40" s="668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</row>
    <row r="41" spans="1:26" ht="15.75" customHeight="1" thickBot="1">
      <c r="A41" s="667"/>
      <c r="B41" s="667"/>
      <c r="C41" s="667"/>
      <c r="D41" s="667"/>
      <c r="E41" s="430" t="s">
        <v>543</v>
      </c>
      <c r="F41" s="433"/>
      <c r="G41" s="669"/>
      <c r="H41" s="432" t="s">
        <v>543</v>
      </c>
      <c r="I41" s="433"/>
      <c r="J41" s="669"/>
      <c r="K41" s="432" t="s">
        <v>543</v>
      </c>
      <c r="L41" s="433"/>
      <c r="M41" s="669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</row>
    <row r="42" spans="1:26" ht="15.75" customHeight="1" thickBot="1">
      <c r="A42" s="666">
        <v>2</v>
      </c>
      <c r="B42" s="674" t="s">
        <v>461</v>
      </c>
      <c r="C42" s="666">
        <v>13</v>
      </c>
      <c r="D42" s="666" t="s">
        <v>448</v>
      </c>
      <c r="E42" s="426" t="s">
        <v>540</v>
      </c>
      <c r="F42" s="427" t="s">
        <v>541</v>
      </c>
      <c r="G42" s="671" t="s">
        <v>542</v>
      </c>
      <c r="H42" s="428" t="s">
        <v>540</v>
      </c>
      <c r="I42" s="429"/>
      <c r="J42" s="668"/>
      <c r="K42" s="428" t="s">
        <v>540</v>
      </c>
      <c r="L42" s="429"/>
      <c r="M42" s="668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</row>
    <row r="43" spans="1:26" ht="15.75" customHeight="1" thickBot="1">
      <c r="A43" s="673"/>
      <c r="B43" s="673"/>
      <c r="C43" s="667"/>
      <c r="D43" s="667"/>
      <c r="E43" s="430" t="s">
        <v>543</v>
      </c>
      <c r="F43" s="431"/>
      <c r="G43" s="672"/>
      <c r="H43" s="432" t="s">
        <v>543</v>
      </c>
      <c r="I43" s="433"/>
      <c r="J43" s="669"/>
      <c r="K43" s="432" t="s">
        <v>543</v>
      </c>
      <c r="L43" s="433"/>
      <c r="M43" s="669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</row>
    <row r="44" spans="1:26" ht="15.75" customHeight="1" thickBot="1">
      <c r="A44" s="673"/>
      <c r="B44" s="673"/>
      <c r="C44" s="666">
        <v>14</v>
      </c>
      <c r="D44" s="666" t="s">
        <v>450</v>
      </c>
      <c r="E44" s="426" t="s">
        <v>540</v>
      </c>
      <c r="F44" s="427" t="s">
        <v>541</v>
      </c>
      <c r="G44" s="671" t="s">
        <v>542</v>
      </c>
      <c r="H44" s="428" t="s">
        <v>540</v>
      </c>
      <c r="I44" s="429"/>
      <c r="J44" s="668"/>
      <c r="K44" s="428" t="s">
        <v>540</v>
      </c>
      <c r="L44" s="429"/>
      <c r="M44" s="668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</row>
    <row r="45" spans="1:26" ht="15.75" customHeight="1" thickBot="1">
      <c r="A45" s="673"/>
      <c r="B45" s="673"/>
      <c r="C45" s="667"/>
      <c r="D45" s="667"/>
      <c r="E45" s="430" t="s">
        <v>543</v>
      </c>
      <c r="F45" s="431"/>
      <c r="G45" s="672"/>
      <c r="H45" s="432" t="s">
        <v>543</v>
      </c>
      <c r="I45" s="433"/>
      <c r="J45" s="669"/>
      <c r="K45" s="432" t="s">
        <v>543</v>
      </c>
      <c r="L45" s="433"/>
      <c r="M45" s="669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</row>
    <row r="46" spans="1:26" ht="15.75" customHeight="1" thickBot="1">
      <c r="A46" s="673"/>
      <c r="B46" s="673"/>
      <c r="C46" s="666">
        <v>15</v>
      </c>
      <c r="D46" s="666" t="s">
        <v>451</v>
      </c>
      <c r="E46" s="426" t="s">
        <v>540</v>
      </c>
      <c r="F46" s="427" t="s">
        <v>541</v>
      </c>
      <c r="G46" s="671" t="s">
        <v>542</v>
      </c>
      <c r="H46" s="428" t="s">
        <v>540</v>
      </c>
      <c r="I46" s="429"/>
      <c r="J46" s="668"/>
      <c r="K46" s="428" t="s">
        <v>540</v>
      </c>
      <c r="L46" s="429"/>
      <c r="M46" s="668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</row>
    <row r="47" spans="1:26" ht="15.75" customHeight="1" thickBot="1">
      <c r="A47" s="673"/>
      <c r="B47" s="673"/>
      <c r="C47" s="667"/>
      <c r="D47" s="667"/>
      <c r="E47" s="430" t="s">
        <v>543</v>
      </c>
      <c r="F47" s="431"/>
      <c r="G47" s="672"/>
      <c r="H47" s="432" t="s">
        <v>543</v>
      </c>
      <c r="I47" s="433"/>
      <c r="J47" s="669"/>
      <c r="K47" s="432" t="s">
        <v>543</v>
      </c>
      <c r="L47" s="433"/>
      <c r="M47" s="669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</row>
    <row r="48" spans="1:26" ht="15.75" customHeight="1" thickBot="1">
      <c r="A48" s="673"/>
      <c r="B48" s="673"/>
      <c r="C48" s="666">
        <v>16</v>
      </c>
      <c r="D48" s="666" t="s">
        <v>452</v>
      </c>
      <c r="E48" s="426" t="s">
        <v>540</v>
      </c>
      <c r="F48" s="427" t="s">
        <v>541</v>
      </c>
      <c r="G48" s="671" t="s">
        <v>542</v>
      </c>
      <c r="H48" s="428" t="s">
        <v>540</v>
      </c>
      <c r="I48" s="429"/>
      <c r="J48" s="668"/>
      <c r="K48" s="428" t="s">
        <v>540</v>
      </c>
      <c r="L48" s="429"/>
      <c r="M48" s="668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</row>
    <row r="49" spans="1:26" ht="15.75" customHeight="1" thickBot="1">
      <c r="A49" s="673"/>
      <c r="B49" s="673"/>
      <c r="C49" s="667"/>
      <c r="D49" s="667"/>
      <c r="E49" s="430" t="s">
        <v>543</v>
      </c>
      <c r="F49" s="431"/>
      <c r="G49" s="672"/>
      <c r="H49" s="432" t="s">
        <v>543</v>
      </c>
      <c r="I49" s="433"/>
      <c r="J49" s="669"/>
      <c r="K49" s="432" t="s">
        <v>543</v>
      </c>
      <c r="L49" s="433"/>
      <c r="M49" s="669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</row>
    <row r="50" spans="1:26" ht="15.75" customHeight="1" thickBot="1">
      <c r="A50" s="673"/>
      <c r="B50" s="673"/>
      <c r="C50" s="666">
        <v>17</v>
      </c>
      <c r="D50" s="666" t="s">
        <v>453</v>
      </c>
      <c r="E50" s="426" t="s">
        <v>540</v>
      </c>
      <c r="F50" s="427" t="s">
        <v>541</v>
      </c>
      <c r="G50" s="671" t="s">
        <v>542</v>
      </c>
      <c r="H50" s="428" t="s">
        <v>540</v>
      </c>
      <c r="I50" s="429"/>
      <c r="J50" s="668"/>
      <c r="K50" s="428" t="s">
        <v>540</v>
      </c>
      <c r="L50" s="429"/>
      <c r="M50" s="668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</row>
    <row r="51" spans="1:26" ht="15.75" customHeight="1" thickBot="1">
      <c r="A51" s="673"/>
      <c r="B51" s="673"/>
      <c r="C51" s="667"/>
      <c r="D51" s="667"/>
      <c r="E51" s="430" t="s">
        <v>543</v>
      </c>
      <c r="F51" s="431"/>
      <c r="G51" s="672"/>
      <c r="H51" s="432" t="s">
        <v>543</v>
      </c>
      <c r="I51" s="433"/>
      <c r="J51" s="669"/>
      <c r="K51" s="432" t="s">
        <v>543</v>
      </c>
      <c r="L51" s="433"/>
      <c r="M51" s="669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</row>
    <row r="52" spans="1:26" ht="15.75" customHeight="1" thickBot="1">
      <c r="A52" s="673"/>
      <c r="B52" s="673"/>
      <c r="C52" s="666">
        <v>18</v>
      </c>
      <c r="D52" s="666" t="s">
        <v>454</v>
      </c>
      <c r="E52" s="426" t="s">
        <v>540</v>
      </c>
      <c r="F52" s="427" t="s">
        <v>541</v>
      </c>
      <c r="G52" s="671" t="s">
        <v>542</v>
      </c>
      <c r="H52" s="428" t="s">
        <v>540</v>
      </c>
      <c r="I52" s="429"/>
      <c r="J52" s="668"/>
      <c r="K52" s="428" t="s">
        <v>540</v>
      </c>
      <c r="L52" s="429"/>
      <c r="M52" s="668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</row>
    <row r="53" spans="1:26" ht="15.75" customHeight="1" thickBot="1">
      <c r="A53" s="673"/>
      <c r="B53" s="673"/>
      <c r="C53" s="667"/>
      <c r="D53" s="667"/>
      <c r="E53" s="430" t="s">
        <v>543</v>
      </c>
      <c r="F53" s="431"/>
      <c r="G53" s="672"/>
      <c r="H53" s="432" t="s">
        <v>543</v>
      </c>
      <c r="I53" s="433"/>
      <c r="J53" s="669"/>
      <c r="K53" s="432" t="s">
        <v>543</v>
      </c>
      <c r="L53" s="433"/>
      <c r="M53" s="669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</row>
    <row r="54" spans="1:26" ht="15.75" customHeight="1" thickBot="1">
      <c r="A54" s="673"/>
      <c r="B54" s="673"/>
      <c r="C54" s="666">
        <v>19</v>
      </c>
      <c r="D54" s="666" t="s">
        <v>455</v>
      </c>
      <c r="E54" s="426" t="s">
        <v>540</v>
      </c>
      <c r="F54" s="427" t="s">
        <v>541</v>
      </c>
      <c r="G54" s="671" t="s">
        <v>542</v>
      </c>
      <c r="H54" s="428" t="s">
        <v>540</v>
      </c>
      <c r="I54" s="429"/>
      <c r="J54" s="668"/>
      <c r="K54" s="428" t="s">
        <v>540</v>
      </c>
      <c r="L54" s="429"/>
      <c r="M54" s="668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</row>
    <row r="55" spans="1:26" ht="15.75" customHeight="1" thickBot="1">
      <c r="A55" s="673"/>
      <c r="B55" s="673"/>
      <c r="C55" s="667"/>
      <c r="D55" s="667"/>
      <c r="E55" s="430" t="s">
        <v>543</v>
      </c>
      <c r="F55" s="431"/>
      <c r="G55" s="672"/>
      <c r="H55" s="432" t="s">
        <v>543</v>
      </c>
      <c r="I55" s="433"/>
      <c r="J55" s="669"/>
      <c r="K55" s="432" t="s">
        <v>543</v>
      </c>
      <c r="L55" s="433"/>
      <c r="M55" s="669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</row>
    <row r="56" spans="1:26" ht="15.75" customHeight="1" thickBot="1">
      <c r="A56" s="673"/>
      <c r="B56" s="673"/>
      <c r="C56" s="666">
        <v>20</v>
      </c>
      <c r="D56" s="666" t="s">
        <v>456</v>
      </c>
      <c r="E56" s="426" t="s">
        <v>540</v>
      </c>
      <c r="F56" s="427" t="s">
        <v>541</v>
      </c>
      <c r="G56" s="671" t="s">
        <v>542</v>
      </c>
      <c r="H56" s="428" t="s">
        <v>540</v>
      </c>
      <c r="I56" s="429"/>
      <c r="J56" s="668"/>
      <c r="K56" s="428" t="s">
        <v>540</v>
      </c>
      <c r="L56" s="429"/>
      <c r="M56" s="668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</row>
    <row r="57" spans="1:26" ht="15.75" customHeight="1" thickBot="1">
      <c r="A57" s="673"/>
      <c r="B57" s="673"/>
      <c r="C57" s="667"/>
      <c r="D57" s="667"/>
      <c r="E57" s="430" t="s">
        <v>543</v>
      </c>
      <c r="F57" s="431"/>
      <c r="G57" s="672"/>
      <c r="H57" s="432" t="s">
        <v>543</v>
      </c>
      <c r="I57" s="433"/>
      <c r="J57" s="669"/>
      <c r="K57" s="432" t="s">
        <v>543</v>
      </c>
      <c r="L57" s="433"/>
      <c r="M57" s="669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</row>
    <row r="58" spans="1:26" ht="15.75" customHeight="1" thickBot="1">
      <c r="A58" s="673"/>
      <c r="B58" s="673"/>
      <c r="C58" s="666">
        <v>21</v>
      </c>
      <c r="D58" s="666" t="s">
        <v>457</v>
      </c>
      <c r="E58" s="426" t="s">
        <v>540</v>
      </c>
      <c r="F58" s="427" t="s">
        <v>541</v>
      </c>
      <c r="G58" s="671" t="s">
        <v>542</v>
      </c>
      <c r="H58" s="428" t="s">
        <v>540</v>
      </c>
      <c r="I58" s="429"/>
      <c r="J58" s="668"/>
      <c r="K58" s="428" t="s">
        <v>540</v>
      </c>
      <c r="L58" s="429"/>
      <c r="M58" s="668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</row>
    <row r="59" spans="1:26" ht="15.75" customHeight="1" thickBot="1">
      <c r="A59" s="673"/>
      <c r="B59" s="673"/>
      <c r="C59" s="667"/>
      <c r="D59" s="667"/>
      <c r="E59" s="430" t="s">
        <v>543</v>
      </c>
      <c r="F59" s="431"/>
      <c r="G59" s="672"/>
      <c r="H59" s="432" t="s">
        <v>543</v>
      </c>
      <c r="I59" s="433"/>
      <c r="J59" s="669"/>
      <c r="K59" s="432" t="s">
        <v>543</v>
      </c>
      <c r="L59" s="433"/>
      <c r="M59" s="669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</row>
    <row r="60" spans="1:26" ht="15.75" customHeight="1" thickBot="1">
      <c r="A60" s="673"/>
      <c r="B60" s="673"/>
      <c r="C60" s="666">
        <v>22</v>
      </c>
      <c r="D60" s="666" t="s">
        <v>458</v>
      </c>
      <c r="E60" s="426" t="s">
        <v>540</v>
      </c>
      <c r="F60" s="427" t="s">
        <v>541</v>
      </c>
      <c r="G60" s="671" t="s">
        <v>542</v>
      </c>
      <c r="H60" s="428" t="s">
        <v>540</v>
      </c>
      <c r="I60" s="429"/>
      <c r="J60" s="668"/>
      <c r="K60" s="428" t="s">
        <v>540</v>
      </c>
      <c r="L60" s="429"/>
      <c r="M60" s="668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</row>
    <row r="61" spans="1:26" ht="15.75" customHeight="1" thickBot="1">
      <c r="A61" s="673"/>
      <c r="B61" s="673"/>
      <c r="C61" s="667"/>
      <c r="D61" s="667"/>
      <c r="E61" s="430" t="s">
        <v>543</v>
      </c>
      <c r="F61" s="431"/>
      <c r="G61" s="672"/>
      <c r="H61" s="432" t="s">
        <v>543</v>
      </c>
      <c r="I61" s="433"/>
      <c r="J61" s="669"/>
      <c r="K61" s="432" t="s">
        <v>543</v>
      </c>
      <c r="L61" s="433"/>
      <c r="M61" s="669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</row>
    <row r="62" spans="1:26" ht="15.75" customHeight="1">
      <c r="A62" s="673"/>
      <c r="B62" s="673"/>
      <c r="C62" s="666">
        <v>23</v>
      </c>
      <c r="D62" s="666" t="s">
        <v>459</v>
      </c>
      <c r="E62" s="426" t="s">
        <v>540</v>
      </c>
      <c r="F62" s="429"/>
      <c r="G62" s="668"/>
      <c r="H62" s="428" t="s">
        <v>540</v>
      </c>
      <c r="I62" s="429"/>
      <c r="J62" s="668"/>
      <c r="K62" s="428" t="s">
        <v>540</v>
      </c>
      <c r="L62" s="429"/>
      <c r="M62" s="668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</row>
    <row r="63" spans="1:26" ht="15.75" customHeight="1" thickBot="1">
      <c r="A63" s="673"/>
      <c r="B63" s="673"/>
      <c r="C63" s="667"/>
      <c r="D63" s="667"/>
      <c r="E63" s="430" t="s">
        <v>543</v>
      </c>
      <c r="F63" s="433"/>
      <c r="G63" s="669"/>
      <c r="H63" s="432" t="s">
        <v>543</v>
      </c>
      <c r="I63" s="433"/>
      <c r="J63" s="669"/>
      <c r="K63" s="432" t="s">
        <v>543</v>
      </c>
      <c r="L63" s="433"/>
      <c r="M63" s="669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</row>
    <row r="64" spans="1:26" ht="15.75" customHeight="1">
      <c r="A64" s="673"/>
      <c r="B64" s="673"/>
      <c r="C64" s="666">
        <v>24</v>
      </c>
      <c r="D64" s="666" t="s">
        <v>460</v>
      </c>
      <c r="E64" s="436" t="s">
        <v>540</v>
      </c>
      <c r="F64" s="437"/>
      <c r="G64" s="670"/>
      <c r="H64" s="438" t="s">
        <v>540</v>
      </c>
      <c r="I64" s="437"/>
      <c r="J64" s="670"/>
      <c r="K64" s="438" t="s">
        <v>540</v>
      </c>
      <c r="L64" s="437"/>
      <c r="M64" s="670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</row>
    <row r="65" spans="1:26" ht="15.75" customHeight="1" thickBot="1">
      <c r="A65" s="667"/>
      <c r="B65" s="667"/>
      <c r="C65" s="667"/>
      <c r="D65" s="667"/>
      <c r="E65" s="430" t="s">
        <v>543</v>
      </c>
      <c r="F65" s="433"/>
      <c r="G65" s="669"/>
      <c r="H65" s="432" t="s">
        <v>543</v>
      </c>
      <c r="I65" s="433"/>
      <c r="J65" s="669"/>
      <c r="K65" s="432" t="s">
        <v>543</v>
      </c>
      <c r="L65" s="433"/>
      <c r="M65" s="669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</row>
    <row r="66" spans="1:26" ht="12.75" customHeight="1">
      <c r="A66" s="338"/>
      <c r="B66" s="338"/>
      <c r="C66" s="338"/>
      <c r="D66" s="338"/>
      <c r="E66" s="338"/>
      <c r="F66" s="338"/>
      <c r="G66" s="338"/>
      <c r="H66" s="338"/>
      <c r="I66" s="338"/>
      <c r="J66" s="338"/>
      <c r="K66" s="338"/>
      <c r="L66" s="338"/>
      <c r="M66" s="33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</row>
    <row r="67" spans="1:26" ht="12.75" customHeight="1">
      <c r="A67" s="337"/>
      <c r="B67" s="337"/>
      <c r="C67" s="337"/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</row>
    <row r="68" spans="1:26" ht="19.5" customHeight="1">
      <c r="A68" s="439" t="s">
        <v>47</v>
      </c>
      <c r="B68" s="293"/>
      <c r="I68" s="337"/>
      <c r="J68" s="337"/>
      <c r="K68" s="333"/>
      <c r="L68" s="337"/>
      <c r="M68" s="33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</row>
    <row r="69" spans="1:26" ht="18" customHeight="1">
      <c r="A69" s="303" t="s">
        <v>544</v>
      </c>
      <c r="B69" s="321"/>
      <c r="C69" s="321"/>
      <c r="D69" s="321"/>
      <c r="E69" s="321"/>
      <c r="F69" s="303"/>
      <c r="G69" s="321"/>
      <c r="H69" s="321"/>
      <c r="I69" s="321"/>
      <c r="J69" s="303"/>
      <c r="K69" s="303" t="s">
        <v>49</v>
      </c>
      <c r="L69" s="303"/>
      <c r="M69" s="303"/>
      <c r="N69" s="303"/>
      <c r="O69" s="303"/>
      <c r="P69" s="303"/>
      <c r="Q69" s="303"/>
      <c r="R69" s="303"/>
      <c r="S69" s="303"/>
      <c r="T69" s="303"/>
      <c r="U69" s="303"/>
      <c r="V69" s="303"/>
      <c r="W69" s="303"/>
      <c r="X69" s="303"/>
      <c r="Y69" s="303"/>
      <c r="Z69" s="303"/>
    </row>
    <row r="70" spans="1:26" ht="23.25" customHeight="1">
      <c r="A70" s="597" t="str">
        <f>"Name: " &amp; 'support table'!$B$10</f>
        <v>Name: [REP_VENDOR]</v>
      </c>
      <c r="B70" s="598"/>
      <c r="C70" s="598"/>
      <c r="D70" s="330"/>
      <c r="E70" s="335"/>
      <c r="F70" s="287"/>
      <c r="G70" s="285"/>
      <c r="H70" s="285"/>
      <c r="I70" s="285"/>
      <c r="J70" s="287"/>
      <c r="K70" s="389" t="str">
        <f>"Name: " &amp; 'support table'!$B$13</f>
        <v>Name: [REP_CUSTOMER]</v>
      </c>
      <c r="L70" s="330"/>
      <c r="M70" s="330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</row>
    <row r="71" spans="1:26" ht="21" customHeight="1">
      <c r="A71" s="660" t="s">
        <v>51</v>
      </c>
      <c r="B71" s="600"/>
      <c r="C71" s="287"/>
      <c r="D71" s="287"/>
      <c r="F71" s="287"/>
      <c r="G71" s="285"/>
      <c r="H71" s="287"/>
      <c r="I71" s="287"/>
      <c r="J71" s="287"/>
      <c r="K71" s="390" t="s">
        <v>51</v>
      </c>
      <c r="L71" s="440"/>
      <c r="M71" s="440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</row>
    <row r="72" spans="1:26" ht="12.75" customHeight="1">
      <c r="A72" s="391" t="s">
        <v>52</v>
      </c>
      <c r="B72" s="333"/>
      <c r="C72" s="287"/>
      <c r="D72" s="287"/>
      <c r="F72" s="287"/>
      <c r="G72" s="391"/>
      <c r="H72" s="333"/>
      <c r="I72" s="287"/>
      <c r="J72" s="287"/>
      <c r="K72" s="391" t="s">
        <v>52</v>
      </c>
      <c r="L72" s="333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</row>
    <row r="73" spans="1:26" ht="34.5" customHeight="1">
      <c r="A73" s="661"/>
      <c r="B73" s="598"/>
      <c r="C73" s="598"/>
      <c r="D73" s="330"/>
      <c r="E73" s="335"/>
      <c r="F73" s="287"/>
      <c r="G73" s="283"/>
      <c r="H73" s="283"/>
      <c r="I73" s="283"/>
      <c r="J73" s="287"/>
      <c r="K73" s="661"/>
      <c r="L73" s="598"/>
      <c r="M73" s="598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</row>
    <row r="74" spans="1:26" ht="21.75" customHeight="1">
      <c r="A74" s="592" t="s">
        <v>54</v>
      </c>
      <c r="B74" s="593"/>
      <c r="C74" s="441"/>
      <c r="D74" s="330"/>
      <c r="F74" s="287"/>
      <c r="G74" s="391"/>
      <c r="H74" s="287"/>
      <c r="I74" s="287"/>
      <c r="J74" s="287"/>
      <c r="K74" s="387" t="s">
        <v>54</v>
      </c>
      <c r="L74" s="331"/>
      <c r="M74" s="373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</row>
    <row r="75" spans="1:26" ht="12.75" customHeight="1"/>
    <row r="76" spans="1:26" ht="12.75" customHeight="1"/>
    <row r="77" spans="1:26" ht="12.75" customHeight="1"/>
    <row r="78" spans="1:26" ht="12.75" customHeight="1"/>
    <row r="79" spans="1:26" ht="13.5" customHeight="1"/>
    <row r="80" spans="1:26" ht="13.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7">
    <mergeCell ref="E12:G12"/>
    <mergeCell ref="H12:J12"/>
    <mergeCell ref="K12:M12"/>
    <mergeCell ref="E13:E14"/>
    <mergeCell ref="H13:H14"/>
    <mergeCell ref="K13:K14"/>
    <mergeCell ref="A1:M4"/>
    <mergeCell ref="J7:L7"/>
    <mergeCell ref="A10:D10"/>
    <mergeCell ref="E10:M10"/>
    <mergeCell ref="E11:G11"/>
    <mergeCell ref="H11:J11"/>
    <mergeCell ref="K11:M11"/>
    <mergeCell ref="J18:J19"/>
    <mergeCell ref="M18:M19"/>
    <mergeCell ref="C20:C21"/>
    <mergeCell ref="D20:D21"/>
    <mergeCell ref="G20:G21"/>
    <mergeCell ref="J20:J21"/>
    <mergeCell ref="M20:M21"/>
    <mergeCell ref="A15:B16"/>
    <mergeCell ref="C15:D16"/>
    <mergeCell ref="E16:G16"/>
    <mergeCell ref="H16:J16"/>
    <mergeCell ref="K16:M16"/>
    <mergeCell ref="A18:A41"/>
    <mergeCell ref="B18:B41"/>
    <mergeCell ref="C18:C19"/>
    <mergeCell ref="D18:D19"/>
    <mergeCell ref="G18:G19"/>
    <mergeCell ref="C22:C23"/>
    <mergeCell ref="D22:D23"/>
    <mergeCell ref="G22:G23"/>
    <mergeCell ref="J22:J23"/>
    <mergeCell ref="M22:M23"/>
    <mergeCell ref="C24:C25"/>
    <mergeCell ref="D24:D25"/>
    <mergeCell ref="G24:G25"/>
    <mergeCell ref="J24:J25"/>
    <mergeCell ref="M24:M25"/>
    <mergeCell ref="C26:C27"/>
    <mergeCell ref="D26:D27"/>
    <mergeCell ref="G26:G27"/>
    <mergeCell ref="J26:J27"/>
    <mergeCell ref="M26:M27"/>
    <mergeCell ref="C28:C29"/>
    <mergeCell ref="D28:D29"/>
    <mergeCell ref="G28:G29"/>
    <mergeCell ref="J28:J29"/>
    <mergeCell ref="M28:M29"/>
    <mergeCell ref="C30:C31"/>
    <mergeCell ref="D30:D31"/>
    <mergeCell ref="G30:G31"/>
    <mergeCell ref="J30:J31"/>
    <mergeCell ref="M30:M31"/>
    <mergeCell ref="C32:C33"/>
    <mergeCell ref="D32:D33"/>
    <mergeCell ref="G32:G33"/>
    <mergeCell ref="J32:J33"/>
    <mergeCell ref="M32:M33"/>
    <mergeCell ref="C34:C35"/>
    <mergeCell ref="D34:D35"/>
    <mergeCell ref="G34:G35"/>
    <mergeCell ref="J34:J35"/>
    <mergeCell ref="M34:M35"/>
    <mergeCell ref="C36:C37"/>
    <mergeCell ref="D36:D37"/>
    <mergeCell ref="G36:G37"/>
    <mergeCell ref="J36:J37"/>
    <mergeCell ref="M36:M37"/>
    <mergeCell ref="C38:C39"/>
    <mergeCell ref="D38:D39"/>
    <mergeCell ref="G38:G39"/>
    <mergeCell ref="J38:J39"/>
    <mergeCell ref="M38:M39"/>
    <mergeCell ref="C40:C41"/>
    <mergeCell ref="D40:D41"/>
    <mergeCell ref="G40:G41"/>
    <mergeCell ref="J40:J41"/>
    <mergeCell ref="M40:M41"/>
    <mergeCell ref="M46:M47"/>
    <mergeCell ref="C48:C49"/>
    <mergeCell ref="D48:D49"/>
    <mergeCell ref="G48:G49"/>
    <mergeCell ref="J48:J49"/>
    <mergeCell ref="M48:M49"/>
    <mergeCell ref="M42:M43"/>
    <mergeCell ref="C44:C45"/>
    <mergeCell ref="D44:D45"/>
    <mergeCell ref="G44:G45"/>
    <mergeCell ref="J44:J45"/>
    <mergeCell ref="M44:M45"/>
    <mergeCell ref="C42:C43"/>
    <mergeCell ref="D42:D43"/>
    <mergeCell ref="G42:G43"/>
    <mergeCell ref="J42:J43"/>
    <mergeCell ref="C46:C47"/>
    <mergeCell ref="D46:D47"/>
    <mergeCell ref="G46:G47"/>
    <mergeCell ref="J46:J47"/>
    <mergeCell ref="C50:C51"/>
    <mergeCell ref="D50:D51"/>
    <mergeCell ref="G50:G51"/>
    <mergeCell ref="J50:J51"/>
    <mergeCell ref="M50:M51"/>
    <mergeCell ref="C52:C53"/>
    <mergeCell ref="D52:D53"/>
    <mergeCell ref="G52:G53"/>
    <mergeCell ref="J52:J53"/>
    <mergeCell ref="M52:M53"/>
    <mergeCell ref="C54:C55"/>
    <mergeCell ref="D54:D55"/>
    <mergeCell ref="G54:G55"/>
    <mergeCell ref="J54:J55"/>
    <mergeCell ref="M54:M55"/>
    <mergeCell ref="C56:C57"/>
    <mergeCell ref="D56:D57"/>
    <mergeCell ref="G56:G57"/>
    <mergeCell ref="J56:J57"/>
    <mergeCell ref="M56:M57"/>
    <mergeCell ref="C58:C59"/>
    <mergeCell ref="D58:D59"/>
    <mergeCell ref="G58:G59"/>
    <mergeCell ref="J58:J59"/>
    <mergeCell ref="M58:M59"/>
    <mergeCell ref="C60:C61"/>
    <mergeCell ref="D60:D61"/>
    <mergeCell ref="G60:G61"/>
    <mergeCell ref="J60:J61"/>
    <mergeCell ref="M60:M61"/>
    <mergeCell ref="A70:C70"/>
    <mergeCell ref="A71:B71"/>
    <mergeCell ref="A73:C73"/>
    <mergeCell ref="K73:M73"/>
    <mergeCell ref="A74:B74"/>
    <mergeCell ref="C62:C63"/>
    <mergeCell ref="D62:D63"/>
    <mergeCell ref="G62:G63"/>
    <mergeCell ref="J62:J63"/>
    <mergeCell ref="M62:M63"/>
    <mergeCell ref="C64:C65"/>
    <mergeCell ref="D64:D65"/>
    <mergeCell ref="G64:G65"/>
    <mergeCell ref="J64:J65"/>
    <mergeCell ref="M64:M65"/>
    <mergeCell ref="A42:A65"/>
    <mergeCell ref="B42:B65"/>
  </mergeCells>
  <pageMargins left="0.7" right="0.7" top="0.75" bottom="0.75" header="0" footer="0"/>
  <pageSetup scale="5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401E-A201-4834-810B-2B90760705F7}">
  <sheetPr codeName="Sheet34">
    <tabColor rgb="FFFF0000"/>
    <pageSetUpPr fitToPage="1"/>
  </sheetPr>
  <dimension ref="A1:G1000"/>
  <sheetViews>
    <sheetView showGridLines="0" zoomScale="69" zoomScaleNormal="69" workbookViewId="0">
      <selection activeCell="C5" sqref="C5"/>
    </sheetView>
  </sheetViews>
  <sheetFormatPr defaultColWidth="12.7109375" defaultRowHeight="15" customHeight="1"/>
  <cols>
    <col min="1" max="1" width="13.28515625" style="279" customWidth="1"/>
    <col min="2" max="2" width="14" style="279" customWidth="1"/>
    <col min="3" max="3" width="54.7109375" style="279" customWidth="1"/>
    <col min="4" max="4" width="33.7109375" style="279" customWidth="1"/>
    <col min="5" max="5" width="4.28515625" style="279" customWidth="1"/>
    <col min="6" max="6" width="33.7109375" style="279" customWidth="1"/>
    <col min="7" max="7" width="34.7109375" style="279" customWidth="1"/>
    <col min="8" max="16384" width="12.7109375" style="279"/>
  </cols>
  <sheetData>
    <row r="1" spans="1:7" ht="37.5" customHeight="1">
      <c r="A1" s="698" t="s">
        <v>372</v>
      </c>
      <c r="B1" s="595"/>
      <c r="C1" s="595"/>
      <c r="D1" s="595"/>
      <c r="E1" s="595"/>
      <c r="F1" s="595"/>
      <c r="G1" s="595"/>
    </row>
    <row r="2" spans="1:7" ht="18.75" customHeight="1">
      <c r="A2" s="354" t="s">
        <v>373</v>
      </c>
      <c r="B2" s="355" t="s">
        <v>317</v>
      </c>
      <c r="C2" s="333" t="str">
        <f>'support table'!$B$1</f>
        <v>[NAMA_PROYEK]</v>
      </c>
      <c r="D2" s="333"/>
      <c r="E2" s="356"/>
      <c r="F2" s="356"/>
    </row>
    <row r="3" spans="1:7" ht="18.75" customHeight="1">
      <c r="A3" s="354" t="s">
        <v>333</v>
      </c>
      <c r="B3" s="355" t="s">
        <v>317</v>
      </c>
      <c r="C3" s="357" t="str">
        <f>'support table'!$B$3</f>
        <v>[NAMA_LOKASI]</v>
      </c>
      <c r="D3" s="357"/>
      <c r="E3" s="356"/>
      <c r="F3" s="356"/>
    </row>
    <row r="4" spans="1:7" ht="18.75" customHeight="1">
      <c r="A4" s="354" t="s">
        <v>3</v>
      </c>
      <c r="B4" s="355" t="s">
        <v>317</v>
      </c>
      <c r="C4" s="358" t="str">
        <f>'support table'!$B$4</f>
        <v>[ID_LOKASI]</v>
      </c>
      <c r="D4" s="357"/>
      <c r="E4" s="356"/>
      <c r="F4" s="356"/>
    </row>
    <row r="5" spans="1:7" ht="15.75" customHeight="1">
      <c r="A5" s="354" t="s">
        <v>374</v>
      </c>
      <c r="B5" s="355" t="s">
        <v>317</v>
      </c>
      <c r="C5" s="359"/>
      <c r="D5" s="359"/>
    </row>
    <row r="6" spans="1:7" ht="12.75" customHeight="1">
      <c r="A6" s="286"/>
      <c r="B6" s="286"/>
    </row>
    <row r="7" spans="1:7" ht="31.5" customHeight="1">
      <c r="A7" s="360" t="s">
        <v>321</v>
      </c>
      <c r="B7" s="699" t="s">
        <v>322</v>
      </c>
      <c r="C7" s="626"/>
      <c r="D7" s="361" t="s">
        <v>323</v>
      </c>
      <c r="E7" s="362"/>
      <c r="F7" s="361" t="s">
        <v>324</v>
      </c>
      <c r="G7" s="361" t="s">
        <v>325</v>
      </c>
    </row>
    <row r="8" spans="1:7" ht="12.75" customHeight="1">
      <c r="A8" s="363"/>
      <c r="B8" s="695"/>
      <c r="C8" s="626"/>
      <c r="D8" s="364"/>
      <c r="E8" s="365"/>
      <c r="F8" s="364"/>
      <c r="G8" s="364"/>
    </row>
    <row r="9" spans="1:7" ht="12.75" customHeight="1">
      <c r="A9" s="366"/>
      <c r="B9" s="700"/>
      <c r="C9" s="626"/>
      <c r="D9" s="367"/>
      <c r="E9" s="368"/>
      <c r="F9" s="364"/>
      <c r="G9" s="367"/>
    </row>
    <row r="10" spans="1:7" ht="12.75" customHeight="1">
      <c r="A10" s="363"/>
      <c r="B10" s="695"/>
      <c r="C10" s="626"/>
      <c r="D10" s="364"/>
      <c r="E10" s="365"/>
      <c r="F10" s="364"/>
      <c r="G10" s="364"/>
    </row>
    <row r="11" spans="1:7" ht="12.75" customHeight="1">
      <c r="A11" s="366"/>
      <c r="B11" s="695"/>
      <c r="C11" s="626"/>
      <c r="D11" s="364"/>
      <c r="E11" s="365"/>
      <c r="F11" s="364"/>
      <c r="G11" s="364"/>
    </row>
    <row r="12" spans="1:7" ht="12.75" customHeight="1">
      <c r="A12" s="363"/>
      <c r="B12" s="695"/>
      <c r="C12" s="626"/>
      <c r="D12" s="364"/>
      <c r="E12" s="365"/>
      <c r="F12" s="364"/>
      <c r="G12" s="364"/>
    </row>
    <row r="13" spans="1:7" ht="12.75" customHeight="1">
      <c r="A13" s="366"/>
      <c r="B13" s="695"/>
      <c r="C13" s="626"/>
      <c r="D13" s="369"/>
      <c r="E13" s="370"/>
      <c r="F13" s="364"/>
      <c r="G13" s="369"/>
    </row>
    <row r="14" spans="1:7" ht="12.75" customHeight="1">
      <c r="A14" s="363"/>
      <c r="B14" s="695"/>
      <c r="C14" s="626"/>
      <c r="D14" s="369"/>
      <c r="E14" s="370"/>
      <c r="F14" s="364"/>
      <c r="G14" s="369"/>
    </row>
    <row r="15" spans="1:7" ht="12.75" customHeight="1">
      <c r="A15" s="366"/>
      <c r="B15" s="695"/>
      <c r="C15" s="626"/>
      <c r="D15" s="364"/>
      <c r="E15" s="365"/>
      <c r="F15" s="364"/>
      <c r="G15" s="364"/>
    </row>
    <row r="16" spans="1:7" ht="12.75" customHeight="1">
      <c r="A16" s="363"/>
      <c r="B16" s="695"/>
      <c r="C16" s="626"/>
      <c r="D16" s="364"/>
      <c r="E16" s="365"/>
      <c r="F16" s="364"/>
      <c r="G16" s="364"/>
    </row>
    <row r="17" spans="1:7" ht="12.75" customHeight="1">
      <c r="A17" s="366"/>
      <c r="B17" s="695"/>
      <c r="C17" s="626"/>
      <c r="D17" s="364"/>
      <c r="E17" s="365"/>
      <c r="F17" s="364"/>
      <c r="G17" s="364"/>
    </row>
    <row r="18" spans="1:7" ht="12.75" customHeight="1">
      <c r="A18" s="363"/>
      <c r="B18" s="695"/>
      <c r="C18" s="626"/>
      <c r="D18" s="364"/>
      <c r="E18" s="365"/>
      <c r="F18" s="364"/>
      <c r="G18" s="364"/>
    </row>
    <row r="19" spans="1:7" ht="12.75" customHeight="1">
      <c r="A19" s="366"/>
      <c r="B19" s="695"/>
      <c r="C19" s="626"/>
      <c r="D19" s="364"/>
      <c r="E19" s="365"/>
      <c r="F19" s="364"/>
      <c r="G19" s="364"/>
    </row>
    <row r="20" spans="1:7" ht="12.75" customHeight="1">
      <c r="A20" s="363"/>
      <c r="B20" s="695"/>
      <c r="C20" s="626"/>
      <c r="D20" s="364"/>
      <c r="E20" s="365"/>
      <c r="F20" s="364"/>
      <c r="G20" s="364"/>
    </row>
    <row r="21" spans="1:7" ht="12.75" customHeight="1">
      <c r="A21" s="366"/>
      <c r="B21" s="695"/>
      <c r="C21" s="626"/>
      <c r="D21" s="364"/>
      <c r="E21" s="365"/>
      <c r="F21" s="364"/>
      <c r="G21" s="364"/>
    </row>
    <row r="22" spans="1:7" ht="12.75" customHeight="1">
      <c r="A22" s="363"/>
      <c r="B22" s="695"/>
      <c r="C22" s="626"/>
      <c r="D22" s="364"/>
      <c r="E22" s="365"/>
      <c r="F22" s="364"/>
      <c r="G22" s="364"/>
    </row>
    <row r="23" spans="1:7" ht="12.75" customHeight="1">
      <c r="A23" s="366"/>
      <c r="B23" s="695"/>
      <c r="C23" s="626"/>
      <c r="D23" s="364"/>
      <c r="E23" s="365"/>
      <c r="F23" s="364"/>
      <c r="G23" s="364"/>
    </row>
    <row r="24" spans="1:7" ht="12.75" customHeight="1">
      <c r="A24" s="363"/>
      <c r="B24" s="695"/>
      <c r="C24" s="626"/>
      <c r="D24" s="364"/>
      <c r="E24" s="365"/>
      <c r="F24" s="364"/>
      <c r="G24" s="364"/>
    </row>
    <row r="25" spans="1:7" ht="12.75" customHeight="1">
      <c r="A25" s="366"/>
      <c r="B25" s="695"/>
      <c r="C25" s="626"/>
      <c r="D25" s="364"/>
      <c r="E25" s="365"/>
      <c r="F25" s="364"/>
      <c r="G25" s="364"/>
    </row>
    <row r="26" spans="1:7" ht="12.75" customHeight="1">
      <c r="A26" s="366"/>
      <c r="B26" s="695"/>
      <c r="C26" s="626"/>
      <c r="D26" s="364"/>
      <c r="E26" s="365"/>
      <c r="F26" s="364"/>
      <c r="G26" s="364"/>
    </row>
    <row r="27" spans="1:7" ht="12.75" customHeight="1">
      <c r="A27" s="366"/>
      <c r="B27" s="695"/>
      <c r="C27" s="626"/>
      <c r="D27" s="364"/>
      <c r="E27" s="365"/>
      <c r="F27" s="364"/>
      <c r="G27" s="364"/>
    </row>
    <row r="28" spans="1:7" ht="12.75" customHeight="1"/>
    <row r="29" spans="1:7" ht="12.75" customHeight="1"/>
    <row r="30" spans="1:7" ht="12.75" customHeight="1">
      <c r="A30" s="282" t="s">
        <v>47</v>
      </c>
      <c r="B30" s="293"/>
    </row>
    <row r="31" spans="1:7" ht="18" customHeight="1">
      <c r="A31" s="287"/>
      <c r="B31" s="287"/>
      <c r="C31" s="292"/>
      <c r="D31" s="292"/>
      <c r="E31" s="291"/>
    </row>
    <row r="32" spans="1:7" ht="12.75" customHeight="1">
      <c r="A32" s="696" t="s">
        <v>326</v>
      </c>
      <c r="B32" s="595"/>
      <c r="C32" s="293"/>
      <c r="D32" s="292" t="s">
        <v>49</v>
      </c>
      <c r="E32" s="371"/>
      <c r="F32" s="292" t="s">
        <v>326</v>
      </c>
      <c r="G32" s="292" t="s">
        <v>49</v>
      </c>
    </row>
    <row r="33" spans="1:7" ht="12.75" customHeight="1">
      <c r="A33" s="303" t="str">
        <f>"Name: " &amp; 'support table'!$B$10</f>
        <v>Name: [REP_VENDOR]</v>
      </c>
      <c r="B33" s="283"/>
      <c r="C33" s="303"/>
      <c r="D33" s="303" t="str">
        <f>"Name: " &amp; 'support table'!$B$13</f>
        <v>Name: [REP_CUSTOMER]</v>
      </c>
      <c r="F33" s="303" t="str">
        <f>"Name: " &amp; 'support table'!$B$10</f>
        <v>Name: [REP_VENDOR]</v>
      </c>
      <c r="G33" s="303" t="str">
        <f>"Name: " &amp; 'support table'!$B$13</f>
        <v>Name: [REP_CUSTOMER]</v>
      </c>
    </row>
    <row r="34" spans="1:7" ht="12.75" customHeight="1">
      <c r="A34" s="697" t="s">
        <v>51</v>
      </c>
      <c r="B34" s="595"/>
      <c r="C34" s="287"/>
      <c r="D34" s="287" t="s">
        <v>51</v>
      </c>
      <c r="F34" s="287" t="s">
        <v>51</v>
      </c>
      <c r="G34" s="287" t="s">
        <v>51</v>
      </c>
    </row>
    <row r="35" spans="1:7" ht="12.75" customHeight="1">
      <c r="A35" s="297" t="s">
        <v>52</v>
      </c>
      <c r="B35" s="297"/>
      <c r="C35" s="297"/>
      <c r="D35" s="297" t="s">
        <v>52</v>
      </c>
      <c r="F35" s="297" t="s">
        <v>52</v>
      </c>
      <c r="G35" s="297" t="s">
        <v>52</v>
      </c>
    </row>
    <row r="36" spans="1:7" ht="12.75" customHeight="1">
      <c r="A36" s="694" t="s">
        <v>54</v>
      </c>
      <c r="B36" s="595"/>
      <c r="C36" s="297"/>
      <c r="D36" s="297" t="s">
        <v>54</v>
      </c>
      <c r="F36" s="297" t="s">
        <v>54</v>
      </c>
      <c r="G36" s="297" t="s">
        <v>54</v>
      </c>
    </row>
    <row r="37" spans="1:7" ht="12.75" customHeight="1"/>
    <row r="38" spans="1:7" ht="12.75" customHeight="1"/>
    <row r="39" spans="1:7" ht="12.75" customHeight="1"/>
    <row r="40" spans="1:7" ht="12.75" customHeight="1"/>
    <row r="41" spans="1:7" ht="12.75" customHeight="1"/>
    <row r="42" spans="1:7" ht="12.75" customHeight="1"/>
    <row r="43" spans="1:7" ht="12.75" customHeight="1"/>
    <row r="44" spans="1:7" ht="12.75" customHeight="1"/>
    <row r="45" spans="1:7" ht="12.75" customHeight="1"/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1:C11"/>
    <mergeCell ref="A1:G1"/>
    <mergeCell ref="B7:C7"/>
    <mergeCell ref="B8:C8"/>
    <mergeCell ref="B9:C9"/>
    <mergeCell ref="B10:C10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36:B36"/>
    <mergeCell ref="B24:C24"/>
    <mergeCell ref="B25:C25"/>
    <mergeCell ref="B26:C26"/>
    <mergeCell ref="B27:C27"/>
    <mergeCell ref="A32:B32"/>
    <mergeCell ref="A34:B34"/>
  </mergeCells>
  <pageMargins left="0.7" right="0.7" top="0.75" bottom="0.75" header="0" footer="0"/>
  <pageSetup scale="62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691C-DABE-4098-B0F3-0D0CC0DE2427}">
  <sheetPr>
    <tabColor rgb="FF00CCFF"/>
    <pageSetUpPr fitToPage="1"/>
  </sheetPr>
  <dimension ref="A1:Z1000"/>
  <sheetViews>
    <sheetView showGridLines="0" workbookViewId="0">
      <selection activeCell="A15" sqref="A15:M15"/>
    </sheetView>
  </sheetViews>
  <sheetFormatPr defaultColWidth="12.7109375" defaultRowHeight="15" customHeight="1"/>
  <cols>
    <col min="1" max="1" width="13.7109375" style="392" customWidth="1"/>
    <col min="2" max="11" width="9" style="392" customWidth="1"/>
    <col min="12" max="12" width="15" style="392" customWidth="1"/>
    <col min="13" max="13" width="10.28515625" style="392" customWidth="1"/>
    <col min="14" max="14" width="9" style="392" customWidth="1"/>
    <col min="15" max="16384" width="12.7109375" style="392"/>
  </cols>
  <sheetData>
    <row r="1" spans="1:26" ht="39.75" customHeight="1" thickBot="1">
      <c r="A1" s="583" t="s">
        <v>327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</row>
    <row r="2" spans="1:26" thickTop="1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</row>
    <row r="3" spans="1:26" ht="14.25" customHeight="1">
      <c r="A3" s="394"/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</row>
    <row r="4" spans="1:26" ht="19.5" customHeight="1">
      <c r="A4" s="584" t="s">
        <v>328</v>
      </c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</row>
    <row r="5" spans="1:26" ht="14.25" customHeight="1">
      <c r="A5" s="394"/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</row>
    <row r="6" spans="1:26" ht="14.25" customHeight="1">
      <c r="A6" s="394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</row>
    <row r="7" spans="1:26" ht="21" customHeight="1">
      <c r="A7" s="131" t="s">
        <v>329</v>
      </c>
      <c r="B7" s="131"/>
      <c r="C7" s="393" t="str">
        <f>": " &amp; 'support table'!$B$10</f>
        <v>: [REP_VENDOR]</v>
      </c>
      <c r="D7" s="131"/>
      <c r="E7" s="131"/>
      <c r="F7" s="133"/>
      <c r="G7" s="133"/>
      <c r="H7" s="133"/>
      <c r="I7" s="133"/>
      <c r="J7" s="133"/>
      <c r="K7" s="133"/>
      <c r="L7" s="133"/>
      <c r="M7" s="133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21" customHeight="1">
      <c r="A8" s="131" t="s">
        <v>330</v>
      </c>
      <c r="B8" s="131"/>
      <c r="C8" s="393" t="str">
        <f>": " &amp; 'support table'!$B$9</f>
        <v>: [NAMA_PT_VENDOR]</v>
      </c>
      <c r="D8" s="131"/>
      <c r="E8" s="131"/>
      <c r="F8" s="133"/>
      <c r="G8" s="133"/>
      <c r="H8" s="133"/>
      <c r="I8" s="133"/>
      <c r="J8" s="133"/>
      <c r="K8" s="133"/>
      <c r="L8" s="133"/>
      <c r="M8" s="133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spans="1:26" ht="15.75" customHeight="1">
      <c r="A9" s="135"/>
      <c r="B9" s="135"/>
      <c r="C9" s="136"/>
      <c r="D9" s="135"/>
      <c r="E9" s="135"/>
      <c r="F9" s="394"/>
      <c r="G9" s="394"/>
      <c r="H9" s="394"/>
      <c r="I9" s="394"/>
      <c r="J9" s="394"/>
      <c r="K9" s="394"/>
      <c r="L9" s="394"/>
      <c r="M9" s="394"/>
    </row>
    <row r="10" spans="1:26">
      <c r="A10" s="135"/>
      <c r="B10" s="135"/>
      <c r="C10" s="135"/>
      <c r="D10" s="135"/>
      <c r="E10" s="135"/>
      <c r="F10" s="394"/>
      <c r="G10" s="394"/>
      <c r="H10" s="394"/>
      <c r="I10" s="394"/>
      <c r="J10" s="394"/>
      <c r="K10" s="394"/>
      <c r="L10" s="394"/>
      <c r="M10" s="394"/>
    </row>
    <row r="11" spans="1:26" ht="21" customHeight="1">
      <c r="A11" s="131" t="s">
        <v>329</v>
      </c>
      <c r="B11" s="131"/>
      <c r="C11" s="393" t="str">
        <f>": " &amp; 'support table'!$B$13</f>
        <v>: [REP_CUSTOMER]</v>
      </c>
      <c r="D11" s="131"/>
      <c r="E11" s="131"/>
      <c r="F11" s="133"/>
      <c r="G11" s="133"/>
      <c r="H11" s="133"/>
      <c r="I11" s="133"/>
      <c r="J11" s="133"/>
      <c r="K11" s="133"/>
      <c r="L11" s="133"/>
      <c r="M11" s="133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spans="1:26" ht="21" customHeight="1">
      <c r="A12" s="131" t="s">
        <v>330</v>
      </c>
      <c r="B12" s="131"/>
      <c r="C12" s="393" t="str">
        <f>": " &amp; 'support table'!$B$12</f>
        <v>: [NAMA_PT_CUSTOMER]</v>
      </c>
      <c r="D12" s="131"/>
      <c r="E12" s="131"/>
      <c r="F12" s="133"/>
      <c r="G12" s="133"/>
      <c r="H12" s="133"/>
      <c r="I12" s="133"/>
      <c r="J12" s="133"/>
      <c r="K12" s="133"/>
      <c r="L12" s="133"/>
      <c r="M12" s="133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spans="1:26" ht="14.25" customHeight="1">
      <c r="A13" s="394"/>
      <c r="B13" s="394"/>
      <c r="C13" s="394"/>
      <c r="D13" s="394"/>
      <c r="E13" s="394"/>
      <c r="F13" s="394"/>
      <c r="G13" s="394"/>
      <c r="H13" s="394"/>
      <c r="I13" s="394"/>
      <c r="J13" s="394"/>
      <c r="K13" s="394"/>
      <c r="L13" s="394"/>
      <c r="M13" s="394"/>
    </row>
    <row r="14" spans="1:26" ht="18" customHeight="1">
      <c r="A14" s="585" t="s">
        <v>546</v>
      </c>
      <c r="B14" s="444"/>
      <c r="C14" s="444"/>
      <c r="D14" s="444"/>
      <c r="E14" s="444"/>
      <c r="F14" s="444"/>
      <c r="G14" s="444"/>
      <c r="H14" s="444"/>
      <c r="I14" s="444"/>
      <c r="J14" s="444"/>
      <c r="K14" s="444"/>
      <c r="L14" s="444"/>
      <c r="M14" s="444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 spans="1:26">
      <c r="A15" s="585" t="s">
        <v>332</v>
      </c>
      <c r="B15" s="444"/>
      <c r="C15" s="444"/>
      <c r="D15" s="444"/>
      <c r="E15" s="444"/>
      <c r="F15" s="444"/>
      <c r="G15" s="444"/>
      <c r="H15" s="444"/>
      <c r="I15" s="444"/>
      <c r="J15" s="444"/>
      <c r="K15" s="444"/>
      <c r="L15" s="444"/>
      <c r="M15" s="444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 spans="1:2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</row>
    <row r="17" spans="1:14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</row>
    <row r="18" spans="1:14" ht="15.75" customHeight="1">
      <c r="A18" s="394" t="s">
        <v>333</v>
      </c>
      <c r="B18" s="139" t="s">
        <v>317</v>
      </c>
      <c r="C18" s="119" t="str">
        <f>'support table'!$B$3</f>
        <v>[NAMA_LOKASI]</v>
      </c>
      <c r="D18" s="394"/>
      <c r="E18" s="394"/>
      <c r="F18" s="394"/>
      <c r="G18" s="394"/>
      <c r="H18" s="394"/>
      <c r="I18" s="394"/>
      <c r="J18" s="394"/>
      <c r="K18" s="394"/>
      <c r="L18" s="394"/>
      <c r="M18" s="394"/>
    </row>
    <row r="19" spans="1:14" ht="15.75" customHeight="1">
      <c r="A19" s="394"/>
      <c r="B19" s="139"/>
      <c r="D19" s="394"/>
      <c r="E19" s="394"/>
      <c r="F19" s="394"/>
      <c r="G19" s="394"/>
      <c r="H19" s="394"/>
      <c r="I19" s="394"/>
      <c r="J19" s="394"/>
      <c r="K19" s="394"/>
      <c r="L19" s="394"/>
      <c r="M19" s="394"/>
    </row>
    <row r="20" spans="1:14" ht="15.75" customHeight="1">
      <c r="A20" s="394" t="s">
        <v>3</v>
      </c>
      <c r="B20" s="139" t="s">
        <v>317</v>
      </c>
      <c r="C20" s="120" t="str">
        <f>'support table'!$B$4</f>
        <v>[ID_LOKASI]</v>
      </c>
      <c r="D20" s="394"/>
      <c r="E20" s="394"/>
      <c r="F20" s="394"/>
      <c r="G20" s="394"/>
      <c r="H20" s="394"/>
      <c r="I20" s="394"/>
      <c r="J20" s="394"/>
      <c r="K20" s="394"/>
      <c r="L20" s="394"/>
      <c r="M20" s="394"/>
    </row>
    <row r="21" spans="1:14" ht="15.75" customHeight="1">
      <c r="A21" s="394"/>
      <c r="B21" s="139"/>
      <c r="D21" s="394"/>
      <c r="E21" s="394"/>
      <c r="F21" s="394"/>
      <c r="G21" s="394"/>
      <c r="H21" s="394"/>
      <c r="I21" s="394"/>
      <c r="J21" s="394"/>
      <c r="K21" s="394"/>
      <c r="L21" s="394"/>
      <c r="M21" s="394"/>
    </row>
    <row r="22" spans="1:14" ht="15.75" customHeight="1">
      <c r="A22" s="394" t="s">
        <v>334</v>
      </c>
      <c r="B22" s="139" t="s">
        <v>317</v>
      </c>
      <c r="D22" s="394"/>
      <c r="E22" s="394"/>
      <c r="F22" s="394"/>
      <c r="G22" s="394"/>
      <c r="H22" s="394"/>
      <c r="I22" s="394"/>
      <c r="J22" s="394"/>
      <c r="K22" s="394"/>
      <c r="L22" s="394"/>
      <c r="M22" s="394"/>
    </row>
    <row r="23" spans="1:14" ht="15.75" customHeight="1">
      <c r="A23" s="135"/>
      <c r="B23" s="394"/>
      <c r="C23" s="140"/>
      <c r="D23" s="394"/>
      <c r="E23" s="394"/>
      <c r="F23" s="394"/>
      <c r="G23" s="394"/>
      <c r="H23" s="394"/>
      <c r="I23" s="394"/>
      <c r="J23" s="394"/>
      <c r="K23" s="394"/>
      <c r="L23" s="394"/>
      <c r="M23" s="394"/>
    </row>
    <row r="24" spans="1:14" ht="15.75" customHeight="1">
      <c r="A24" s="135"/>
      <c r="B24" s="394"/>
      <c r="C24" s="140"/>
      <c r="D24" s="394"/>
      <c r="E24" s="394"/>
      <c r="F24" s="394"/>
      <c r="G24" s="394"/>
      <c r="H24" s="394"/>
      <c r="I24" s="394"/>
      <c r="J24" s="394"/>
      <c r="K24" s="394"/>
      <c r="L24" s="394"/>
      <c r="M24" s="394"/>
    </row>
    <row r="25" spans="1:14" ht="14.25" customHeight="1">
      <c r="A25" s="394"/>
      <c r="B25" s="394"/>
      <c r="C25" s="394"/>
      <c r="D25" s="394"/>
      <c r="E25" s="394"/>
      <c r="F25" s="394"/>
      <c r="G25" s="394"/>
      <c r="H25" s="394"/>
      <c r="I25" s="394"/>
      <c r="J25" s="394"/>
      <c r="K25" s="394"/>
      <c r="L25" s="394"/>
      <c r="M25" s="394"/>
    </row>
    <row r="26" spans="1:14" ht="19.5" customHeight="1">
      <c r="A26" s="141" t="s">
        <v>335</v>
      </c>
      <c r="B26" s="141" t="s">
        <v>336</v>
      </c>
      <c r="C26" s="586" t="s">
        <v>322</v>
      </c>
      <c r="D26" s="462"/>
      <c r="E26" s="586" t="s">
        <v>337</v>
      </c>
      <c r="F26" s="460"/>
      <c r="G26" s="460"/>
      <c r="H26" s="462"/>
      <c r="I26" s="586" t="s">
        <v>338</v>
      </c>
      <c r="J26" s="462"/>
      <c r="K26" s="141" t="s">
        <v>339</v>
      </c>
      <c r="L26" s="586" t="s">
        <v>340</v>
      </c>
      <c r="M26" s="462"/>
      <c r="N26" s="23"/>
    </row>
    <row r="27" spans="1:14" ht="19.5" customHeight="1">
      <c r="A27" s="127"/>
      <c r="B27" s="142">
        <v>1</v>
      </c>
      <c r="C27" s="581"/>
      <c r="D27" s="462"/>
      <c r="E27" s="581"/>
      <c r="F27" s="460"/>
      <c r="G27" s="460"/>
      <c r="H27" s="462"/>
      <c r="I27" s="582"/>
      <c r="J27" s="462"/>
      <c r="K27" s="127"/>
      <c r="L27" s="579"/>
      <c r="M27" s="462"/>
    </row>
    <row r="28" spans="1:14" ht="19.5" customHeight="1">
      <c r="A28" s="127"/>
      <c r="B28" s="143"/>
      <c r="C28" s="581"/>
      <c r="D28" s="462"/>
      <c r="E28" s="581"/>
      <c r="F28" s="460"/>
      <c r="G28" s="460"/>
      <c r="H28" s="462"/>
      <c r="I28" s="582"/>
      <c r="J28" s="462"/>
      <c r="K28" s="127"/>
      <c r="L28" s="579"/>
      <c r="M28" s="462"/>
    </row>
    <row r="29" spans="1:14" ht="19.5" customHeight="1">
      <c r="A29" s="127"/>
      <c r="B29" s="143"/>
      <c r="C29" s="581"/>
      <c r="D29" s="462"/>
      <c r="E29" s="581"/>
      <c r="F29" s="460"/>
      <c r="G29" s="460"/>
      <c r="H29" s="462"/>
      <c r="I29" s="582"/>
      <c r="J29" s="462"/>
      <c r="K29" s="127"/>
      <c r="L29" s="579"/>
      <c r="M29" s="462"/>
    </row>
    <row r="30" spans="1:14" ht="19.5" customHeight="1">
      <c r="A30" s="127"/>
      <c r="B30" s="143"/>
      <c r="C30" s="581"/>
      <c r="D30" s="462"/>
      <c r="E30" s="581"/>
      <c r="F30" s="460"/>
      <c r="G30" s="460"/>
      <c r="H30" s="462"/>
      <c r="I30" s="582"/>
      <c r="J30" s="462"/>
      <c r="K30" s="127"/>
      <c r="L30" s="579"/>
      <c r="M30" s="462"/>
    </row>
    <row r="31" spans="1:14" ht="19.5" customHeight="1">
      <c r="A31" s="127"/>
      <c r="B31" s="143"/>
      <c r="C31" s="581"/>
      <c r="D31" s="462"/>
      <c r="E31" s="581"/>
      <c r="F31" s="460"/>
      <c r="G31" s="460"/>
      <c r="H31" s="462"/>
      <c r="I31" s="582"/>
      <c r="J31" s="462"/>
      <c r="K31" s="127"/>
      <c r="L31" s="579"/>
      <c r="M31" s="462"/>
    </row>
    <row r="32" spans="1:14" ht="19.5" customHeight="1">
      <c r="A32" s="127"/>
      <c r="B32" s="127"/>
      <c r="C32" s="579"/>
      <c r="D32" s="462"/>
      <c r="E32" s="579"/>
      <c r="F32" s="460"/>
      <c r="G32" s="460"/>
      <c r="H32" s="462"/>
      <c r="I32" s="579"/>
      <c r="J32" s="462"/>
      <c r="K32" s="127"/>
      <c r="L32" s="579"/>
      <c r="M32" s="462"/>
    </row>
    <row r="33" spans="1:13" ht="19.5" customHeight="1">
      <c r="A33" s="127"/>
      <c r="B33" s="127"/>
      <c r="C33" s="579"/>
      <c r="D33" s="462"/>
      <c r="E33" s="579"/>
      <c r="F33" s="460"/>
      <c r="G33" s="460"/>
      <c r="H33" s="462"/>
      <c r="I33" s="579"/>
      <c r="J33" s="462"/>
      <c r="K33" s="127"/>
      <c r="L33" s="579"/>
      <c r="M33" s="462"/>
    </row>
    <row r="34" spans="1:13" ht="19.5" customHeight="1">
      <c r="A34" s="127"/>
      <c r="B34" s="127"/>
      <c r="C34" s="579"/>
      <c r="D34" s="462"/>
      <c r="E34" s="579"/>
      <c r="F34" s="460"/>
      <c r="G34" s="460"/>
      <c r="H34" s="462"/>
      <c r="I34" s="579"/>
      <c r="J34" s="462"/>
      <c r="K34" s="127"/>
      <c r="L34" s="579"/>
      <c r="M34" s="462"/>
    </row>
    <row r="35" spans="1:13" ht="19.5" customHeight="1">
      <c r="A35" s="127"/>
      <c r="B35" s="127"/>
      <c r="C35" s="579"/>
      <c r="D35" s="462"/>
      <c r="E35" s="579"/>
      <c r="F35" s="460"/>
      <c r="G35" s="460"/>
      <c r="H35" s="462"/>
      <c r="I35" s="579"/>
      <c r="J35" s="462"/>
      <c r="K35" s="127"/>
      <c r="L35" s="579"/>
      <c r="M35" s="462"/>
    </row>
    <row r="36" spans="1:13" ht="19.5" customHeight="1">
      <c r="A36" s="127"/>
      <c r="B36" s="127"/>
      <c r="C36" s="579"/>
      <c r="D36" s="462"/>
      <c r="E36" s="579"/>
      <c r="F36" s="460"/>
      <c r="G36" s="460"/>
      <c r="H36" s="462"/>
      <c r="I36" s="579"/>
      <c r="J36" s="462"/>
      <c r="K36" s="127"/>
      <c r="L36" s="579"/>
      <c r="M36" s="462"/>
    </row>
    <row r="37" spans="1:13" ht="19.5" customHeight="1">
      <c r="A37" s="127"/>
      <c r="B37" s="127"/>
      <c r="C37" s="579"/>
      <c r="D37" s="462"/>
      <c r="E37" s="579"/>
      <c r="F37" s="460"/>
      <c r="G37" s="460"/>
      <c r="H37" s="462"/>
      <c r="I37" s="579"/>
      <c r="J37" s="462"/>
      <c r="K37" s="127"/>
      <c r="L37" s="579"/>
      <c r="M37" s="462"/>
    </row>
    <row r="38" spans="1:13" ht="19.5" customHeight="1">
      <c r="A38" s="127"/>
      <c r="B38" s="127"/>
      <c r="C38" s="579"/>
      <c r="D38" s="462"/>
      <c r="E38" s="579"/>
      <c r="F38" s="460"/>
      <c r="G38" s="460"/>
      <c r="H38" s="462"/>
      <c r="I38" s="579"/>
      <c r="J38" s="462"/>
      <c r="K38" s="127"/>
      <c r="L38" s="579"/>
      <c r="M38" s="462"/>
    </row>
    <row r="39" spans="1:13" ht="19.5" customHeight="1">
      <c r="A39" s="127"/>
      <c r="B39" s="127"/>
      <c r="C39" s="579"/>
      <c r="D39" s="462"/>
      <c r="E39" s="579"/>
      <c r="F39" s="460"/>
      <c r="G39" s="460"/>
      <c r="H39" s="462"/>
      <c r="I39" s="579"/>
      <c r="J39" s="462"/>
      <c r="K39" s="127"/>
      <c r="L39" s="579"/>
      <c r="M39" s="462"/>
    </row>
    <row r="40" spans="1:13" ht="19.5" customHeight="1">
      <c r="A40" s="127"/>
      <c r="B40" s="127"/>
      <c r="C40" s="579"/>
      <c r="D40" s="462"/>
      <c r="E40" s="579"/>
      <c r="F40" s="460"/>
      <c r="G40" s="460"/>
      <c r="H40" s="462"/>
      <c r="I40" s="579"/>
      <c r="J40" s="462"/>
      <c r="K40" s="127"/>
      <c r="L40" s="579"/>
      <c r="M40" s="462"/>
    </row>
    <row r="41" spans="1:13" ht="19.5" customHeight="1">
      <c r="A41" s="127"/>
      <c r="B41" s="127"/>
      <c r="C41" s="579"/>
      <c r="D41" s="462"/>
      <c r="E41" s="579"/>
      <c r="F41" s="460"/>
      <c r="G41" s="460"/>
      <c r="H41" s="462"/>
      <c r="I41" s="579"/>
      <c r="J41" s="462"/>
      <c r="K41" s="127"/>
      <c r="L41" s="579"/>
      <c r="M41" s="462"/>
    </row>
    <row r="42" spans="1:13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2.75" customHeight="1">
      <c r="C46" s="580"/>
      <c r="D46" s="444"/>
      <c r="E46" s="580"/>
      <c r="F46" s="444"/>
      <c r="G46" s="444"/>
      <c r="H46" s="444"/>
    </row>
    <row r="47" spans="1:13" ht="12.75" customHeight="1"/>
    <row r="48" spans="1:13" s="261" customFormat="1" ht="15.75">
      <c r="B48" s="578" t="str">
        <f>'support table'!$B$9</f>
        <v>[NAMA_PT_VENDOR]</v>
      </c>
      <c r="C48" s="578"/>
      <c r="D48" s="578"/>
      <c r="E48" s="578"/>
      <c r="F48" s="262"/>
      <c r="G48" s="263"/>
      <c r="H48" s="578" t="str">
        <f>'support table'!$B$12</f>
        <v>[NAMA_PT_CUSTOMER]</v>
      </c>
      <c r="I48" s="578"/>
      <c r="J48" s="578"/>
      <c r="K48" s="578"/>
      <c r="L48" s="578"/>
      <c r="M48" s="578"/>
    </row>
    <row r="49" spans="2:13" ht="12.75" customHeight="1"/>
    <row r="50" spans="2:13" ht="12.75" customHeight="1"/>
    <row r="51" spans="2:13" ht="12.75" customHeight="1"/>
    <row r="52" spans="2:13" ht="12.75" customHeight="1"/>
    <row r="53" spans="2:13" ht="12.75" customHeight="1"/>
    <row r="54" spans="2:13" ht="12.75" customHeight="1"/>
    <row r="55" spans="2:13" ht="13.5" customHeight="1">
      <c r="B55" s="144"/>
      <c r="C55" s="144"/>
      <c r="D55" s="144"/>
      <c r="E55" s="144"/>
      <c r="F55" s="145"/>
      <c r="G55" s="145"/>
      <c r="H55" s="145"/>
      <c r="I55" s="145"/>
      <c r="J55" s="144"/>
      <c r="K55" s="144"/>
      <c r="L55" s="144"/>
      <c r="M55" s="23"/>
    </row>
    <row r="56" spans="2:13" ht="15.75" customHeight="1">
      <c r="B56" s="135" t="s">
        <v>329</v>
      </c>
      <c r="C56" s="135" t="str">
        <f>": " &amp; 'support table'!$B$10</f>
        <v>: [REP_VENDOR]</v>
      </c>
      <c r="D56" s="135"/>
      <c r="E56" s="135"/>
      <c r="F56" s="135"/>
      <c r="G56" s="135"/>
      <c r="H56" s="135"/>
      <c r="I56" s="135"/>
      <c r="J56" s="135" t="s">
        <v>329</v>
      </c>
      <c r="K56" s="23" t="str">
        <f>": " &amp; 'support table'!$B$13</f>
        <v>: [REP_CUSTOMER]</v>
      </c>
      <c r="L56" s="145"/>
      <c r="M56" s="145"/>
    </row>
    <row r="57" spans="2:13" ht="12.75" customHeight="1"/>
    <row r="58" spans="2:13" ht="12.75" customHeight="1"/>
    <row r="59" spans="2:13" ht="12.75" customHeight="1"/>
    <row r="60" spans="2:13" ht="12.75" customHeight="1"/>
    <row r="61" spans="2:13" ht="12.75" customHeight="1"/>
    <row r="62" spans="2:13" ht="12.75" customHeight="1"/>
    <row r="63" spans="2:13" ht="12.75" customHeight="1"/>
    <row r="64" spans="2:13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B48:E48"/>
    <mergeCell ref="H48:M48"/>
    <mergeCell ref="C41:D41"/>
    <mergeCell ref="E41:H41"/>
    <mergeCell ref="I41:J41"/>
    <mergeCell ref="L41:M41"/>
    <mergeCell ref="C46:D46"/>
    <mergeCell ref="E46:H46"/>
    <mergeCell ref="C39:D39"/>
    <mergeCell ref="E39:H39"/>
    <mergeCell ref="I39:J39"/>
    <mergeCell ref="L39:M39"/>
    <mergeCell ref="C40:D40"/>
    <mergeCell ref="E40:H40"/>
    <mergeCell ref="I40:J40"/>
    <mergeCell ref="L40:M40"/>
    <mergeCell ref="C37:D37"/>
    <mergeCell ref="E37:H37"/>
    <mergeCell ref="I37:J37"/>
    <mergeCell ref="L37:M37"/>
    <mergeCell ref="C38:D38"/>
    <mergeCell ref="E38:H38"/>
    <mergeCell ref="I38:J38"/>
    <mergeCell ref="L38:M38"/>
    <mergeCell ref="C35:D35"/>
    <mergeCell ref="E35:H35"/>
    <mergeCell ref="I35:J35"/>
    <mergeCell ref="L35:M35"/>
    <mergeCell ref="C36:D36"/>
    <mergeCell ref="E36:H36"/>
    <mergeCell ref="I36:J36"/>
    <mergeCell ref="L36:M36"/>
    <mergeCell ref="C33:D33"/>
    <mergeCell ref="E33:H33"/>
    <mergeCell ref="I33:J33"/>
    <mergeCell ref="L33:M33"/>
    <mergeCell ref="C34:D34"/>
    <mergeCell ref="E34:H34"/>
    <mergeCell ref="I34:J34"/>
    <mergeCell ref="L34:M34"/>
    <mergeCell ref="C31:D31"/>
    <mergeCell ref="E31:H31"/>
    <mergeCell ref="I31:J31"/>
    <mergeCell ref="L31:M31"/>
    <mergeCell ref="C32:D32"/>
    <mergeCell ref="E32:H32"/>
    <mergeCell ref="I32:J32"/>
    <mergeCell ref="L32:M32"/>
    <mergeCell ref="C29:D29"/>
    <mergeCell ref="E29:H29"/>
    <mergeCell ref="I29:J29"/>
    <mergeCell ref="L29:M29"/>
    <mergeCell ref="C30:D30"/>
    <mergeCell ref="E30:H30"/>
    <mergeCell ref="I30:J30"/>
    <mergeCell ref="L30:M30"/>
    <mergeCell ref="C27:D27"/>
    <mergeCell ref="E27:H27"/>
    <mergeCell ref="I27:J27"/>
    <mergeCell ref="L27:M27"/>
    <mergeCell ref="C28:D28"/>
    <mergeCell ref="E28:H28"/>
    <mergeCell ref="I28:J28"/>
    <mergeCell ref="L28:M28"/>
    <mergeCell ref="A1:M1"/>
    <mergeCell ref="A4:M4"/>
    <mergeCell ref="A14:M14"/>
    <mergeCell ref="A15:M15"/>
    <mergeCell ref="C26:D26"/>
    <mergeCell ref="E26:H26"/>
    <mergeCell ref="I26:J26"/>
    <mergeCell ref="L26:M26"/>
  </mergeCells>
  <pageMargins left="0.7" right="0.7" top="0.75" bottom="0.75" header="0" footer="0"/>
  <pageSetup scale="7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6">
    <tabColor rgb="FF00CCFF"/>
    <pageSetUpPr fitToPage="1"/>
  </sheetPr>
  <dimension ref="A1:I1000"/>
  <sheetViews>
    <sheetView showGridLines="0" zoomScale="83" workbookViewId="0">
      <selection activeCell="H21" sqref="H21:H29"/>
    </sheetView>
  </sheetViews>
  <sheetFormatPr defaultColWidth="12.7109375" defaultRowHeight="15" customHeight="1"/>
  <cols>
    <col min="1" max="1" width="11.140625" customWidth="1"/>
    <col min="2" max="2" width="14.42578125" customWidth="1"/>
    <col min="3" max="3" width="10.7109375" customWidth="1"/>
    <col min="4" max="5" width="13.28515625" customWidth="1"/>
    <col min="6" max="6" width="9" customWidth="1"/>
    <col min="7" max="7" width="29.7109375" customWidth="1"/>
    <col min="8" max="8" width="14.140625" customWidth="1"/>
    <col min="9" max="9" width="32.85546875" customWidth="1"/>
  </cols>
  <sheetData>
    <row r="1" spans="1:9" ht="12.75" customHeight="1"/>
    <row r="2" spans="1:9" ht="12.75" customHeight="1"/>
    <row r="3" spans="1:9" ht="12.75" customHeight="1"/>
    <row r="4" spans="1:9" ht="12.75" customHeight="1"/>
    <row r="5" spans="1:9" ht="12.75" customHeight="1">
      <c r="A5" s="207"/>
      <c r="B5" s="207"/>
      <c r="C5" s="207"/>
      <c r="D5" s="207"/>
      <c r="E5" s="705" t="s">
        <v>393</v>
      </c>
      <c r="F5" s="444"/>
      <c r="G5" s="444"/>
      <c r="H5" s="444"/>
      <c r="I5" s="207"/>
    </row>
    <row r="6" spans="1:9" ht="12.75" customHeight="1">
      <c r="A6" s="207"/>
      <c r="B6" s="207"/>
      <c r="C6" s="207"/>
      <c r="D6" s="207"/>
      <c r="E6" s="444"/>
      <c r="F6" s="444"/>
      <c r="G6" s="444"/>
      <c r="H6" s="444"/>
      <c r="I6" s="207"/>
    </row>
    <row r="7" spans="1:9" ht="18.75" customHeight="1">
      <c r="C7" s="208"/>
      <c r="D7" s="208"/>
      <c r="E7" s="208"/>
      <c r="F7" s="208"/>
      <c r="G7" s="208"/>
      <c r="H7" s="208"/>
    </row>
    <row r="8" spans="1:9" ht="18.75" customHeight="1">
      <c r="C8" s="208"/>
      <c r="D8" s="208"/>
      <c r="E8" s="208"/>
      <c r="F8" s="208"/>
      <c r="G8" s="208"/>
      <c r="H8" s="208"/>
    </row>
    <row r="9" spans="1:9" ht="12.75" customHeight="1">
      <c r="C9" s="208"/>
      <c r="D9" s="208"/>
      <c r="E9" s="208"/>
      <c r="F9" s="208"/>
      <c r="G9" s="208"/>
      <c r="H9" s="208"/>
    </row>
    <row r="10" spans="1:9" ht="12.75" customHeight="1">
      <c r="C10" s="208"/>
      <c r="D10" s="208"/>
      <c r="E10" s="208"/>
      <c r="F10" s="208"/>
      <c r="G10" s="208"/>
      <c r="H10" s="208"/>
    </row>
    <row r="11" spans="1:9" ht="14.25" customHeight="1">
      <c r="A11" s="706" t="s">
        <v>394</v>
      </c>
      <c r="B11" s="707"/>
      <c r="C11" s="707"/>
      <c r="D11" s="707"/>
      <c r="E11" s="707"/>
      <c r="F11" s="707"/>
      <c r="G11" s="707"/>
      <c r="H11" s="707"/>
      <c r="I11" s="707"/>
    </row>
    <row r="12" spans="1:9" ht="12.75" customHeight="1">
      <c r="A12" s="40"/>
      <c r="B12" s="40"/>
      <c r="C12" s="40"/>
      <c r="D12" s="40"/>
      <c r="E12" s="40"/>
      <c r="F12" s="40"/>
      <c r="G12" s="40"/>
    </row>
    <row r="13" spans="1:9" ht="12.75" customHeight="1"/>
    <row r="14" spans="1:9" ht="19.5" customHeight="1">
      <c r="B14" s="209" t="s">
        <v>333</v>
      </c>
      <c r="C14" s="210" t="s">
        <v>317</v>
      </c>
      <c r="D14" s="255" t="str">
        <f>'support table'!$B$3</f>
        <v>[NAMA_LOKASI]</v>
      </c>
    </row>
    <row r="15" spans="1:9" ht="19.5" customHeight="1">
      <c r="B15" s="209" t="s">
        <v>3</v>
      </c>
      <c r="C15" s="210" t="s">
        <v>317</v>
      </c>
      <c r="D15" s="211" t="str">
        <f>'support table'!$B$4</f>
        <v>[ID_LOKASI]</v>
      </c>
    </row>
    <row r="16" spans="1:9" ht="19.5" customHeight="1">
      <c r="B16" s="209" t="s">
        <v>395</v>
      </c>
      <c r="C16" s="210" t="s">
        <v>317</v>
      </c>
      <c r="D16" s="23"/>
    </row>
    <row r="17" spans="2:9" ht="19.5" customHeight="1">
      <c r="B17" s="209" t="s">
        <v>396</v>
      </c>
      <c r="C17" s="210" t="s">
        <v>317</v>
      </c>
      <c r="D17" s="23" t="str">
        <f>'support table'!$B$7</f>
        <v>[ID_FDT_FROM]</v>
      </c>
    </row>
    <row r="18" spans="2:9" ht="13.5" customHeight="1"/>
    <row r="19" spans="2:9" ht="15.75" customHeight="1">
      <c r="B19" s="212" t="s">
        <v>15</v>
      </c>
      <c r="C19" s="213" t="s">
        <v>16</v>
      </c>
      <c r="D19" s="213" t="s">
        <v>397</v>
      </c>
      <c r="E19" s="214" t="s">
        <v>398</v>
      </c>
      <c r="F19" s="708" t="s">
        <v>399</v>
      </c>
      <c r="G19" s="465"/>
      <c r="H19" s="213" t="s">
        <v>26</v>
      </c>
      <c r="I19" s="213" t="s">
        <v>387</v>
      </c>
    </row>
    <row r="20" spans="2:9" s="254" customFormat="1" ht="30" customHeight="1">
      <c r="B20" s="250">
        <v>1</v>
      </c>
      <c r="C20" s="251" t="s">
        <v>515</v>
      </c>
      <c r="D20" s="251">
        <v>1</v>
      </c>
      <c r="E20" s="252" t="s">
        <v>469</v>
      </c>
      <c r="F20" s="701" t="s">
        <v>516</v>
      </c>
      <c r="G20" s="702"/>
      <c r="H20" s="251" t="s">
        <v>468</v>
      </c>
      <c r="I20" s="253" t="str">
        <f>C20</f>
        <v>[SPL_ID]</v>
      </c>
    </row>
    <row r="21" spans="2:9" s="254" customFormat="1" ht="30" customHeight="1">
      <c r="B21" s="250">
        <v>2</v>
      </c>
      <c r="C21" s="251" t="s">
        <v>515</v>
      </c>
      <c r="D21" s="251">
        <v>1</v>
      </c>
      <c r="E21" s="252" t="s">
        <v>469</v>
      </c>
      <c r="F21" s="701" t="s">
        <v>516</v>
      </c>
      <c r="G21" s="702"/>
      <c r="H21" s="251" t="s">
        <v>468</v>
      </c>
      <c r="I21" s="253" t="str">
        <f t="shared" ref="I21:I29" si="0">C21</f>
        <v>[SPL_ID]</v>
      </c>
    </row>
    <row r="22" spans="2:9" s="254" customFormat="1" ht="30" customHeight="1">
      <c r="B22" s="250"/>
      <c r="C22" s="251" t="s">
        <v>515</v>
      </c>
      <c r="D22" s="251">
        <v>1</v>
      </c>
      <c r="E22" s="252" t="s">
        <v>469</v>
      </c>
      <c r="F22" s="701" t="s">
        <v>516</v>
      </c>
      <c r="G22" s="702"/>
      <c r="H22" s="251" t="s">
        <v>468</v>
      </c>
      <c r="I22" s="253" t="str">
        <f t="shared" si="0"/>
        <v>[SPL_ID]</v>
      </c>
    </row>
    <row r="23" spans="2:9" s="254" customFormat="1" ht="30" customHeight="1">
      <c r="B23" s="250"/>
      <c r="C23" s="251" t="s">
        <v>515</v>
      </c>
      <c r="D23" s="251">
        <v>1</v>
      </c>
      <c r="E23" s="252" t="s">
        <v>469</v>
      </c>
      <c r="F23" s="701" t="s">
        <v>516</v>
      </c>
      <c r="G23" s="702"/>
      <c r="H23" s="251" t="s">
        <v>468</v>
      </c>
      <c r="I23" s="253" t="str">
        <f t="shared" si="0"/>
        <v>[SPL_ID]</v>
      </c>
    </row>
    <row r="24" spans="2:9" s="254" customFormat="1" ht="30" customHeight="1">
      <c r="B24" s="250"/>
      <c r="C24" s="251" t="s">
        <v>515</v>
      </c>
      <c r="D24" s="251">
        <v>1</v>
      </c>
      <c r="E24" s="252" t="s">
        <v>469</v>
      </c>
      <c r="F24" s="701" t="s">
        <v>516</v>
      </c>
      <c r="G24" s="702"/>
      <c r="H24" s="251" t="s">
        <v>468</v>
      </c>
      <c r="I24" s="253" t="str">
        <f t="shared" si="0"/>
        <v>[SPL_ID]</v>
      </c>
    </row>
    <row r="25" spans="2:9" s="254" customFormat="1" ht="30" customHeight="1">
      <c r="B25" s="250"/>
      <c r="C25" s="251" t="s">
        <v>515</v>
      </c>
      <c r="D25" s="251">
        <v>1</v>
      </c>
      <c r="E25" s="252" t="s">
        <v>469</v>
      </c>
      <c r="F25" s="701" t="s">
        <v>516</v>
      </c>
      <c r="G25" s="702"/>
      <c r="H25" s="251" t="s">
        <v>468</v>
      </c>
      <c r="I25" s="253" t="str">
        <f t="shared" si="0"/>
        <v>[SPL_ID]</v>
      </c>
    </row>
    <row r="26" spans="2:9" s="254" customFormat="1" ht="30" customHeight="1">
      <c r="B26" s="250"/>
      <c r="C26" s="251" t="s">
        <v>515</v>
      </c>
      <c r="D26" s="251">
        <v>1</v>
      </c>
      <c r="E26" s="252" t="s">
        <v>469</v>
      </c>
      <c r="F26" s="701" t="s">
        <v>516</v>
      </c>
      <c r="G26" s="702"/>
      <c r="H26" s="251" t="s">
        <v>468</v>
      </c>
      <c r="I26" s="253" t="str">
        <f t="shared" si="0"/>
        <v>[SPL_ID]</v>
      </c>
    </row>
    <row r="27" spans="2:9" s="254" customFormat="1" ht="30" customHeight="1">
      <c r="B27" s="250"/>
      <c r="C27" s="251" t="s">
        <v>515</v>
      </c>
      <c r="D27" s="251">
        <v>1</v>
      </c>
      <c r="E27" s="252" t="s">
        <v>469</v>
      </c>
      <c r="F27" s="701" t="s">
        <v>516</v>
      </c>
      <c r="G27" s="702"/>
      <c r="H27" s="251" t="s">
        <v>468</v>
      </c>
      <c r="I27" s="253" t="str">
        <f t="shared" si="0"/>
        <v>[SPL_ID]</v>
      </c>
    </row>
    <row r="28" spans="2:9" s="254" customFormat="1" ht="30" customHeight="1">
      <c r="B28" s="250"/>
      <c r="C28" s="251" t="s">
        <v>515</v>
      </c>
      <c r="D28" s="251">
        <v>1</v>
      </c>
      <c r="E28" s="252" t="s">
        <v>469</v>
      </c>
      <c r="F28" s="701" t="s">
        <v>516</v>
      </c>
      <c r="G28" s="702"/>
      <c r="H28" s="251" t="s">
        <v>468</v>
      </c>
      <c r="I28" s="253" t="str">
        <f t="shared" si="0"/>
        <v>[SPL_ID]</v>
      </c>
    </row>
    <row r="29" spans="2:9" s="254" customFormat="1" ht="30" customHeight="1">
      <c r="B29" s="250"/>
      <c r="C29" s="251" t="s">
        <v>515</v>
      </c>
      <c r="D29" s="251">
        <v>1</v>
      </c>
      <c r="E29" s="252" t="s">
        <v>469</v>
      </c>
      <c r="F29" s="701" t="s">
        <v>516</v>
      </c>
      <c r="G29" s="702"/>
      <c r="H29" s="251" t="s">
        <v>468</v>
      </c>
      <c r="I29" s="253" t="str">
        <f t="shared" si="0"/>
        <v>[SPL_ID]</v>
      </c>
    </row>
    <row r="30" spans="2:9" ht="12.75" customHeight="1"/>
    <row r="31" spans="2:9" ht="15.75" customHeight="1">
      <c r="B31" s="215" t="s">
        <v>405</v>
      </c>
    </row>
    <row r="32" spans="2:9" ht="15.75" customHeight="1">
      <c r="B32" s="215"/>
    </row>
    <row r="33" spans="2:9" ht="15.75" customHeight="1">
      <c r="B33" s="215"/>
    </row>
    <row r="34" spans="2:9" ht="15.75" customHeight="1">
      <c r="B34" s="215"/>
    </row>
    <row r="35" spans="2:9" ht="15.75" customHeight="1">
      <c r="B35" s="215"/>
    </row>
    <row r="36" spans="2:9" ht="15.75" customHeight="1">
      <c r="B36" s="215"/>
    </row>
    <row r="37" spans="2:9" ht="15.75" customHeight="1">
      <c r="B37" s="215"/>
    </row>
    <row r="38" spans="2:9" ht="15.75" customHeight="1">
      <c r="B38" s="215"/>
    </row>
    <row r="39" spans="2:9" ht="15.75" customHeight="1">
      <c r="B39" s="215"/>
    </row>
    <row r="40" spans="2:9" ht="15.75" customHeight="1">
      <c r="B40" s="215"/>
    </row>
    <row r="41" spans="2:9" ht="15.75" customHeight="1">
      <c r="B41" s="215"/>
    </row>
    <row r="42" spans="2:9" ht="12.75" customHeight="1"/>
    <row r="43" spans="2:9" ht="12.75" customHeight="1"/>
    <row r="44" spans="2:9" ht="12.75" customHeight="1"/>
    <row r="45" spans="2:9" ht="12.75" customHeight="1"/>
    <row r="46" spans="2:9" ht="12.75" customHeight="1"/>
    <row r="47" spans="2:9" ht="12.75" customHeight="1"/>
    <row r="48" spans="2:9" ht="12.75" customHeight="1">
      <c r="B48" s="703" t="s">
        <v>326</v>
      </c>
      <c r="C48" s="444"/>
      <c r="D48" s="444"/>
      <c r="E48" s="444"/>
      <c r="H48" s="703" t="s">
        <v>49</v>
      </c>
      <c r="I48" s="444"/>
    </row>
    <row r="49" spans="2:9" ht="12.75" customHeight="1">
      <c r="B49" s="704" t="s">
        <v>406</v>
      </c>
      <c r="C49" s="458"/>
      <c r="D49" s="458"/>
      <c r="E49" s="458"/>
      <c r="H49" s="703" t="s">
        <v>407</v>
      </c>
      <c r="I49" s="444"/>
    </row>
    <row r="50" spans="2:9" ht="19.5" customHeight="1">
      <c r="B50" s="216" t="str">
        <f>"Name : " &amp; 'support table'!$B$10</f>
        <v>Name : [REP_VENDOR]</v>
      </c>
      <c r="C50" s="216"/>
      <c r="D50" s="216"/>
      <c r="E50" s="216"/>
      <c r="H50" s="216" t="str">
        <f>"Name: " &amp; 'support table'!$B$13</f>
        <v>Name: [REP_CUSTOMER]</v>
      </c>
      <c r="I50" s="216"/>
    </row>
    <row r="51" spans="2:9" ht="19.5" customHeight="1">
      <c r="B51" s="216" t="s">
        <v>408</v>
      </c>
      <c r="C51" s="216"/>
      <c r="D51" s="216"/>
      <c r="E51" s="216"/>
      <c r="H51" s="216" t="s">
        <v>408</v>
      </c>
      <c r="I51" s="216"/>
    </row>
    <row r="52" spans="2:9" ht="19.5" customHeight="1"/>
    <row r="53" spans="2:9" ht="19.5" customHeight="1"/>
    <row r="54" spans="2:9" ht="19.5" customHeight="1"/>
    <row r="55" spans="2:9" ht="19.5" customHeight="1"/>
    <row r="56" spans="2:9" ht="19.5" customHeight="1">
      <c r="B56" s="216" t="s">
        <v>52</v>
      </c>
      <c r="C56" s="216"/>
      <c r="D56" s="216"/>
      <c r="E56" s="216"/>
      <c r="H56" s="216" t="s">
        <v>52</v>
      </c>
      <c r="I56" s="216"/>
    </row>
    <row r="57" spans="2:9" ht="19.5" customHeight="1">
      <c r="B57" s="144" t="s">
        <v>409</v>
      </c>
      <c r="C57" s="144"/>
      <c r="D57" s="144"/>
      <c r="E57" s="216"/>
      <c r="H57" s="216" t="s">
        <v>409</v>
      </c>
      <c r="I57" s="216"/>
    </row>
    <row r="58" spans="2:9" ht="12.75" customHeight="1"/>
    <row r="59" spans="2:9" ht="12.75" customHeight="1"/>
    <row r="60" spans="2:9" ht="12.75" customHeight="1"/>
    <row r="61" spans="2:9" ht="12.75" customHeight="1"/>
    <row r="62" spans="2:9" ht="12.75" customHeight="1"/>
    <row r="63" spans="2:9" ht="12.75" customHeight="1"/>
    <row r="64" spans="2:9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E5:H6"/>
    <mergeCell ref="A11:I11"/>
    <mergeCell ref="F19:G19"/>
    <mergeCell ref="F27:G27"/>
    <mergeCell ref="F28:G28"/>
    <mergeCell ref="F20:G20"/>
    <mergeCell ref="F21:G21"/>
    <mergeCell ref="F22:G22"/>
    <mergeCell ref="F23:G23"/>
    <mergeCell ref="F24:G24"/>
    <mergeCell ref="F25:G25"/>
    <mergeCell ref="F26:G26"/>
    <mergeCell ref="F29:G29"/>
    <mergeCell ref="B48:E48"/>
    <mergeCell ref="H48:I48"/>
    <mergeCell ref="B49:E49"/>
    <mergeCell ref="H49:I49"/>
  </mergeCells>
  <phoneticPr fontId="78" type="noConversion"/>
  <pageMargins left="0.7" right="0.7" top="0.75" bottom="0.75" header="0" footer="0"/>
  <pageSetup scale="6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7C91-879F-45D6-BBD5-7587CB432812}">
  <sheetPr codeName="Sheet37">
    <tabColor rgb="FF00CCFF"/>
    <pageSetUpPr fitToPage="1"/>
  </sheetPr>
  <dimension ref="A1:I1000"/>
  <sheetViews>
    <sheetView showGridLines="0" zoomScale="83" workbookViewId="0">
      <selection activeCell="H16" sqref="H16"/>
    </sheetView>
  </sheetViews>
  <sheetFormatPr defaultColWidth="12.7109375" defaultRowHeight="15" customHeight="1"/>
  <cols>
    <col min="1" max="1" width="11.140625" style="279" customWidth="1"/>
    <col min="2" max="2" width="15.5703125" style="279" customWidth="1"/>
    <col min="3" max="3" width="10.7109375" style="279" customWidth="1"/>
    <col min="4" max="4" width="10.28515625" style="279" customWidth="1"/>
    <col min="5" max="5" width="13.28515625" style="279" customWidth="1"/>
    <col min="6" max="6" width="9" style="279" customWidth="1"/>
    <col min="7" max="7" width="29.7109375" style="279" customWidth="1"/>
    <col min="8" max="8" width="14.140625" style="279" customWidth="1"/>
    <col min="9" max="9" width="22.5703125" style="279" customWidth="1"/>
    <col min="10" max="16384" width="12.7109375" style="279"/>
  </cols>
  <sheetData>
    <row r="1" spans="1:9" ht="12.75" customHeight="1"/>
    <row r="2" spans="1:9" ht="12.75" customHeight="1"/>
    <row r="3" spans="1:9" ht="12.75" customHeight="1"/>
    <row r="4" spans="1:9" ht="12.75" customHeight="1"/>
    <row r="5" spans="1:9" ht="12.75" customHeight="1">
      <c r="A5" s="386"/>
      <c r="B5" s="386"/>
      <c r="C5" s="386"/>
      <c r="D5" s="386"/>
      <c r="E5" s="709" t="s">
        <v>393</v>
      </c>
      <c r="F5" s="595"/>
      <c r="G5" s="595"/>
      <c r="H5" s="595"/>
      <c r="I5" s="386"/>
    </row>
    <row r="6" spans="1:9" ht="12.75" customHeight="1">
      <c r="A6" s="386"/>
      <c r="B6" s="386"/>
      <c r="C6" s="386"/>
      <c r="D6" s="386"/>
      <c r="E6" s="595"/>
      <c r="F6" s="595"/>
      <c r="G6" s="595"/>
      <c r="H6" s="595"/>
      <c r="I6" s="386"/>
    </row>
    <row r="7" spans="1:9" ht="18.75" customHeight="1">
      <c r="C7" s="385"/>
      <c r="D7" s="385"/>
      <c r="E7" s="385"/>
      <c r="F7" s="385"/>
      <c r="G7" s="385"/>
      <c r="H7" s="385"/>
    </row>
    <row r="8" spans="1:9" ht="18.75" customHeight="1">
      <c r="C8" s="385"/>
      <c r="D8" s="385"/>
      <c r="E8" s="385"/>
      <c r="F8" s="385"/>
      <c r="G8" s="385"/>
      <c r="H8" s="385"/>
    </row>
    <row r="9" spans="1:9" ht="12.75" customHeight="1">
      <c r="C9" s="385"/>
      <c r="D9" s="385"/>
      <c r="E9" s="385"/>
      <c r="F9" s="385"/>
      <c r="G9" s="385"/>
      <c r="H9" s="385"/>
    </row>
    <row r="10" spans="1:9" ht="12.75" customHeight="1">
      <c r="C10" s="385"/>
      <c r="D10" s="385"/>
      <c r="E10" s="385"/>
      <c r="F10" s="385"/>
      <c r="G10" s="385"/>
      <c r="H10" s="385"/>
    </row>
    <row r="11" spans="1:9" ht="14.25" customHeight="1">
      <c r="A11" s="710" t="s">
        <v>394</v>
      </c>
      <c r="B11" s="711"/>
      <c r="C11" s="711"/>
      <c r="D11" s="711"/>
      <c r="E11" s="711"/>
      <c r="F11" s="711"/>
      <c r="G11" s="711"/>
      <c r="H11" s="711"/>
      <c r="I11" s="711"/>
    </row>
    <row r="12" spans="1:9" ht="12.75" customHeight="1">
      <c r="A12" s="303"/>
      <c r="B12" s="303"/>
      <c r="C12" s="303"/>
      <c r="D12" s="303"/>
      <c r="E12" s="303"/>
      <c r="F12" s="303"/>
      <c r="G12" s="303"/>
    </row>
    <row r="13" spans="1:9" ht="12.75" customHeight="1"/>
    <row r="14" spans="1:9" ht="19.5" customHeight="1">
      <c r="B14" s="384" t="s">
        <v>333</v>
      </c>
      <c r="C14" s="383" t="s">
        <v>317</v>
      </c>
      <c r="D14" s="282" t="str">
        <f>'support table'!$B$3</f>
        <v>[NAMA_LOKASI]</v>
      </c>
    </row>
    <row r="15" spans="1:9" ht="19.5" customHeight="1">
      <c r="B15" s="384" t="s">
        <v>3</v>
      </c>
      <c r="C15" s="383" t="s">
        <v>317</v>
      </c>
      <c r="D15" s="287" t="str">
        <f>'support table'!$B$4</f>
        <v>[ID_LOKASI]</v>
      </c>
    </row>
    <row r="16" spans="1:9" ht="19.5" customHeight="1">
      <c r="B16" s="384" t="s">
        <v>395</v>
      </c>
      <c r="C16" s="383" t="s">
        <v>317</v>
      </c>
      <c r="D16" s="287"/>
      <c r="H16" s="279" t="s">
        <v>517</v>
      </c>
    </row>
    <row r="17" spans="2:9" ht="19.5" customHeight="1">
      <c r="B17" s="384" t="s">
        <v>396</v>
      </c>
      <c r="C17" s="383" t="s">
        <v>317</v>
      </c>
      <c r="D17" s="287" t="str">
        <f>'support table'!$B$7</f>
        <v>[ID_FDT_FROM]</v>
      </c>
    </row>
    <row r="18" spans="2:9" ht="13.5" customHeight="1" thickBot="1"/>
    <row r="19" spans="2:9" ht="15.75" customHeight="1" thickBot="1">
      <c r="B19" s="382" t="s">
        <v>15</v>
      </c>
      <c r="C19" s="380" t="s">
        <v>16</v>
      </c>
      <c r="D19" s="380" t="s">
        <v>397</v>
      </c>
      <c r="E19" s="381" t="s">
        <v>398</v>
      </c>
      <c r="F19" s="712" t="s">
        <v>399</v>
      </c>
      <c r="G19" s="684"/>
      <c r="H19" s="380" t="s">
        <v>26</v>
      </c>
      <c r="I19" s="380" t="s">
        <v>387</v>
      </c>
    </row>
    <row r="20" spans="2:9" s="375" customFormat="1" ht="30" customHeight="1" thickBot="1">
      <c r="B20" s="379">
        <v>1</v>
      </c>
      <c r="C20" s="377" t="s">
        <v>400</v>
      </c>
      <c r="D20" s="377">
        <v>1</v>
      </c>
      <c r="E20" s="378" t="s">
        <v>470</v>
      </c>
      <c r="F20" s="713" t="s">
        <v>471</v>
      </c>
      <c r="G20" s="714"/>
      <c r="H20" s="377" t="s">
        <v>468</v>
      </c>
      <c r="I20" s="376" t="s">
        <v>499</v>
      </c>
    </row>
    <row r="21" spans="2:9" s="375" customFormat="1" ht="30" customHeight="1" thickBot="1">
      <c r="B21" s="379">
        <v>2</v>
      </c>
      <c r="C21" s="377" t="s">
        <v>401</v>
      </c>
      <c r="D21" s="377">
        <v>1</v>
      </c>
      <c r="E21" s="378" t="s">
        <v>470</v>
      </c>
      <c r="F21" s="713" t="s">
        <v>471</v>
      </c>
      <c r="G21" s="714"/>
      <c r="H21" s="377" t="s">
        <v>468</v>
      </c>
      <c r="I21" s="376" t="s">
        <v>499</v>
      </c>
    </row>
    <row r="22" spans="2:9" s="375" customFormat="1" ht="30" customHeight="1" thickBot="1">
      <c r="B22" s="379">
        <v>3</v>
      </c>
      <c r="C22" s="377" t="s">
        <v>402</v>
      </c>
      <c r="D22" s="377">
        <v>1</v>
      </c>
      <c r="E22" s="378" t="s">
        <v>470</v>
      </c>
      <c r="F22" s="713" t="s">
        <v>471</v>
      </c>
      <c r="G22" s="714"/>
      <c r="H22" s="377" t="s">
        <v>468</v>
      </c>
      <c r="I22" s="376" t="s">
        <v>499</v>
      </c>
    </row>
    <row r="23" spans="2:9" s="375" customFormat="1" ht="30" customHeight="1" thickBot="1">
      <c r="B23" s="379">
        <v>4</v>
      </c>
      <c r="C23" s="377" t="s">
        <v>403</v>
      </c>
      <c r="D23" s="377">
        <v>1</v>
      </c>
      <c r="E23" s="378" t="s">
        <v>470</v>
      </c>
      <c r="F23" s="713" t="s">
        <v>471</v>
      </c>
      <c r="G23" s="714"/>
      <c r="H23" s="377" t="s">
        <v>468</v>
      </c>
      <c r="I23" s="376" t="s">
        <v>499</v>
      </c>
    </row>
    <row r="24" spans="2:9" s="375" customFormat="1" ht="30" customHeight="1" thickBot="1">
      <c r="B24" s="379">
        <v>5</v>
      </c>
      <c r="C24" s="377" t="s">
        <v>404</v>
      </c>
      <c r="D24" s="377">
        <v>1</v>
      </c>
      <c r="E24" s="378" t="s">
        <v>470</v>
      </c>
      <c r="F24" s="713" t="s">
        <v>471</v>
      </c>
      <c r="G24" s="714"/>
      <c r="H24" s="377" t="s">
        <v>468</v>
      </c>
      <c r="I24" s="376" t="s">
        <v>499</v>
      </c>
    </row>
    <row r="25" spans="2:9" s="375" customFormat="1" ht="30" customHeight="1" thickBot="1">
      <c r="B25" s="379">
        <v>6</v>
      </c>
      <c r="C25" s="377" t="s">
        <v>510</v>
      </c>
      <c r="D25" s="377">
        <v>1</v>
      </c>
      <c r="E25" s="378" t="s">
        <v>470</v>
      </c>
      <c r="F25" s="713" t="s">
        <v>471</v>
      </c>
      <c r="G25" s="714"/>
      <c r="H25" s="377" t="s">
        <v>468</v>
      </c>
      <c r="I25" s="376" t="s">
        <v>499</v>
      </c>
    </row>
    <row r="26" spans="2:9" s="375" customFormat="1" ht="30" customHeight="1" thickBot="1">
      <c r="B26" s="379">
        <v>7</v>
      </c>
      <c r="C26" s="377" t="s">
        <v>511</v>
      </c>
      <c r="D26" s="377">
        <v>1</v>
      </c>
      <c r="E26" s="378" t="s">
        <v>470</v>
      </c>
      <c r="F26" s="713" t="s">
        <v>471</v>
      </c>
      <c r="G26" s="714"/>
      <c r="H26" s="377" t="s">
        <v>468</v>
      </c>
      <c r="I26" s="376" t="s">
        <v>499</v>
      </c>
    </row>
    <row r="27" spans="2:9" s="375" customFormat="1" ht="30" customHeight="1" thickBot="1">
      <c r="B27" s="379">
        <v>8</v>
      </c>
      <c r="C27" s="377" t="s">
        <v>512</v>
      </c>
      <c r="D27" s="377">
        <v>1</v>
      </c>
      <c r="E27" s="378" t="s">
        <v>470</v>
      </c>
      <c r="F27" s="713" t="s">
        <v>471</v>
      </c>
      <c r="G27" s="714"/>
      <c r="H27" s="377" t="s">
        <v>468</v>
      </c>
      <c r="I27" s="376" t="s">
        <v>499</v>
      </c>
    </row>
    <row r="28" spans="2:9" s="375" customFormat="1" ht="30" customHeight="1" thickBot="1">
      <c r="B28" s="379">
        <v>9</v>
      </c>
      <c r="C28" s="377" t="s">
        <v>513</v>
      </c>
      <c r="D28" s="377">
        <v>1</v>
      </c>
      <c r="E28" s="378" t="s">
        <v>470</v>
      </c>
      <c r="F28" s="713" t="s">
        <v>471</v>
      </c>
      <c r="G28" s="714"/>
      <c r="H28" s="377" t="s">
        <v>468</v>
      </c>
      <c r="I28" s="376" t="s">
        <v>499</v>
      </c>
    </row>
    <row r="29" spans="2:9" s="375" customFormat="1" ht="30" customHeight="1" thickBot="1">
      <c r="B29" s="379">
        <v>10</v>
      </c>
      <c r="C29" s="377" t="s">
        <v>514</v>
      </c>
      <c r="D29" s="377">
        <v>1</v>
      </c>
      <c r="E29" s="378" t="s">
        <v>470</v>
      </c>
      <c r="F29" s="713" t="s">
        <v>471</v>
      </c>
      <c r="G29" s="714"/>
      <c r="H29" s="377" t="s">
        <v>468</v>
      </c>
      <c r="I29" s="376" t="s">
        <v>499</v>
      </c>
    </row>
    <row r="30" spans="2:9" ht="12.75" customHeight="1"/>
    <row r="31" spans="2:9" ht="15.75" customHeight="1">
      <c r="B31" s="374" t="s">
        <v>405</v>
      </c>
    </row>
    <row r="32" spans="2:9" ht="15.75" customHeight="1">
      <c r="B32" s="374"/>
    </row>
    <row r="33" spans="2:9" ht="15.75" customHeight="1">
      <c r="B33" s="374"/>
    </row>
    <row r="34" spans="2:9" ht="15.75" customHeight="1">
      <c r="B34" s="374"/>
    </row>
    <row r="35" spans="2:9" ht="15.75" customHeight="1">
      <c r="B35" s="374"/>
    </row>
    <row r="36" spans="2:9" ht="15.75" customHeight="1">
      <c r="B36" s="374"/>
    </row>
    <row r="37" spans="2:9" ht="15.75" customHeight="1">
      <c r="B37" s="374"/>
    </row>
    <row r="38" spans="2:9" ht="15.75" customHeight="1">
      <c r="B38" s="374"/>
    </row>
    <row r="39" spans="2:9" ht="15.75" customHeight="1">
      <c r="B39" s="374"/>
    </row>
    <row r="40" spans="2:9" ht="15.75" customHeight="1">
      <c r="B40" s="374"/>
    </row>
    <row r="41" spans="2:9" ht="15.75" customHeight="1">
      <c r="B41" s="374"/>
    </row>
    <row r="42" spans="2:9" ht="12.75" customHeight="1"/>
    <row r="43" spans="2:9" ht="12.75" customHeight="1"/>
    <row r="44" spans="2:9" ht="12.75" customHeight="1"/>
    <row r="45" spans="2:9" ht="12.75" customHeight="1"/>
    <row r="46" spans="2:9" ht="12.75" customHeight="1"/>
    <row r="47" spans="2:9" ht="12.75" customHeight="1"/>
    <row r="48" spans="2:9" ht="12.75" customHeight="1">
      <c r="B48" s="715" t="s">
        <v>326</v>
      </c>
      <c r="C48" s="595"/>
      <c r="D48" s="595"/>
      <c r="E48" s="595"/>
      <c r="H48" s="715" t="s">
        <v>49</v>
      </c>
      <c r="I48" s="595"/>
    </row>
    <row r="49" spans="2:9" ht="12.75" customHeight="1">
      <c r="B49" s="716" t="s">
        <v>406</v>
      </c>
      <c r="C49" s="598"/>
      <c r="D49" s="598"/>
      <c r="E49" s="598"/>
      <c r="H49" s="715" t="s">
        <v>407</v>
      </c>
      <c r="I49" s="595"/>
    </row>
    <row r="50" spans="2:9" ht="19.5" customHeight="1">
      <c r="B50" s="373" t="str">
        <f>"Name : " &amp; 'support table'!$B$10</f>
        <v>Name : [REP_VENDOR]</v>
      </c>
      <c r="C50" s="373"/>
      <c r="D50" s="373"/>
      <c r="E50" s="373"/>
      <c r="H50" s="373" t="str">
        <f>"Name: " &amp; 'support table'!$B$13</f>
        <v>Name: [REP_CUSTOMER]</v>
      </c>
      <c r="I50" s="373"/>
    </row>
    <row r="51" spans="2:9" ht="19.5" customHeight="1">
      <c r="B51" s="373" t="s">
        <v>408</v>
      </c>
      <c r="C51" s="373"/>
      <c r="D51" s="373"/>
      <c r="E51" s="373"/>
      <c r="H51" s="373" t="s">
        <v>408</v>
      </c>
      <c r="I51" s="373"/>
    </row>
    <row r="52" spans="2:9" ht="19.5" customHeight="1"/>
    <row r="53" spans="2:9" ht="19.5" customHeight="1"/>
    <row r="54" spans="2:9" ht="19.5" customHeight="1"/>
    <row r="55" spans="2:9" ht="19.5" customHeight="1"/>
    <row r="56" spans="2:9" ht="19.5" customHeight="1">
      <c r="B56" s="373" t="s">
        <v>52</v>
      </c>
      <c r="C56" s="373"/>
      <c r="D56" s="373"/>
      <c r="E56" s="373"/>
      <c r="H56" s="373" t="s">
        <v>52</v>
      </c>
      <c r="I56" s="373"/>
    </row>
    <row r="57" spans="2:9" ht="19.5" customHeight="1">
      <c r="B57" s="330" t="s">
        <v>409</v>
      </c>
      <c r="C57" s="330"/>
      <c r="D57" s="330"/>
      <c r="E57" s="373"/>
      <c r="H57" s="373" t="s">
        <v>409</v>
      </c>
      <c r="I57" s="373"/>
    </row>
    <row r="58" spans="2:9" ht="12.75" customHeight="1"/>
    <row r="59" spans="2:9" ht="12.75" customHeight="1"/>
    <row r="60" spans="2:9" ht="12.75" customHeight="1"/>
    <row r="61" spans="2:9" ht="12.75" customHeight="1"/>
    <row r="62" spans="2:9" ht="12.75" customHeight="1"/>
    <row r="63" spans="2:9" ht="12.75" customHeight="1"/>
    <row r="64" spans="2:9" ht="12.75" customHeight="1"/>
    <row r="65" s="279" customFormat="1" ht="12.75" customHeight="1"/>
    <row r="66" s="279" customFormat="1" ht="12.75" customHeight="1"/>
    <row r="67" s="279" customFormat="1" ht="12.75" customHeight="1"/>
    <row r="68" s="279" customFormat="1" ht="12.75" customHeight="1"/>
    <row r="69" s="279" customFormat="1" ht="12.75" customHeight="1"/>
    <row r="70" s="279" customFormat="1" ht="12.75" customHeight="1"/>
    <row r="71" s="279" customFormat="1" ht="12.75" customHeight="1"/>
    <row r="72" s="279" customFormat="1" ht="12.75" customHeight="1"/>
    <row r="73" s="279" customFormat="1" ht="12.75" customHeight="1"/>
    <row r="74" s="279" customFormat="1" ht="12.75" customHeight="1"/>
    <row r="75" s="279" customFormat="1" ht="12.75" customHeight="1"/>
    <row r="76" s="279" customFormat="1" ht="12.75" customHeight="1"/>
    <row r="77" s="279" customFormat="1" ht="12.75" customHeight="1"/>
    <row r="78" s="279" customFormat="1" ht="12.75" customHeight="1"/>
    <row r="79" s="279" customFormat="1" ht="12.75" customHeight="1"/>
    <row r="80" s="279" customFormat="1" ht="12.75" customHeight="1"/>
    <row r="81" s="279" customFormat="1" ht="12.75" customHeight="1"/>
    <row r="82" s="279" customFormat="1" ht="12.75" customHeight="1"/>
    <row r="83" s="279" customFormat="1" ht="12.75" customHeight="1"/>
    <row r="84" s="279" customFormat="1" ht="12.75" customHeight="1"/>
    <row r="85" s="279" customFormat="1" ht="12.75" customHeight="1"/>
    <row r="86" s="279" customFormat="1" ht="12.75" customHeight="1"/>
    <row r="87" s="279" customFormat="1" ht="12.75" customHeight="1"/>
    <row r="88" s="279" customFormat="1" ht="12.75" customHeight="1"/>
    <row r="89" s="279" customFormat="1" ht="12.75" customHeight="1"/>
    <row r="90" s="279" customFormat="1" ht="12.75" customHeight="1"/>
    <row r="91" s="279" customFormat="1" ht="12.75" customHeight="1"/>
    <row r="92" s="279" customFormat="1" ht="12.75" customHeight="1"/>
    <row r="93" s="279" customFormat="1" ht="12.75" customHeight="1"/>
    <row r="94" s="279" customFormat="1" ht="12.75" customHeight="1"/>
    <row r="95" s="279" customFormat="1" ht="12.75" customHeight="1"/>
    <row r="96" s="279" customFormat="1" ht="12.75" customHeight="1"/>
    <row r="97" s="279" customFormat="1" ht="12.75" customHeight="1"/>
    <row r="98" s="279" customFormat="1" ht="12.75" customHeight="1"/>
    <row r="99" s="279" customFormat="1" ht="12.75" customHeight="1"/>
    <row r="100" s="279" customFormat="1" ht="12.75" customHeight="1"/>
    <row r="101" s="279" customFormat="1" ht="12.75" customHeight="1"/>
    <row r="102" s="279" customFormat="1" ht="12.75" customHeight="1"/>
    <row r="103" s="279" customFormat="1" ht="12.75" customHeight="1"/>
    <row r="104" s="279" customFormat="1" ht="12.75" customHeight="1"/>
    <row r="105" s="279" customFormat="1" ht="12.75" customHeight="1"/>
    <row r="106" s="279" customFormat="1" ht="12.75" customHeight="1"/>
    <row r="107" s="279" customFormat="1" ht="12.75" customHeight="1"/>
    <row r="108" s="279" customFormat="1" ht="12.75" customHeight="1"/>
    <row r="109" s="279" customFormat="1" ht="12.75" customHeight="1"/>
    <row r="110" s="279" customFormat="1" ht="12.75" customHeight="1"/>
    <row r="111" s="279" customFormat="1" ht="12.75" customHeight="1"/>
    <row r="112" s="279" customFormat="1" ht="12.75" customHeight="1"/>
    <row r="113" s="279" customFormat="1" ht="12.75" customHeight="1"/>
    <row r="114" s="279" customFormat="1" ht="12.75" customHeight="1"/>
    <row r="115" s="279" customFormat="1" ht="12.75" customHeight="1"/>
    <row r="116" s="279" customFormat="1" ht="12.75" customHeight="1"/>
    <row r="117" s="279" customFormat="1" ht="12.75" customHeight="1"/>
    <row r="118" s="279" customFormat="1" ht="12.75" customHeight="1"/>
    <row r="119" s="279" customFormat="1" ht="12.75" customHeight="1"/>
    <row r="120" s="279" customFormat="1" ht="12.75" customHeight="1"/>
    <row r="121" s="279" customFormat="1" ht="12.75" customHeight="1"/>
    <row r="122" s="279" customFormat="1" ht="12.75" customHeight="1"/>
    <row r="123" s="279" customFormat="1" ht="12.75" customHeight="1"/>
    <row r="124" s="279" customFormat="1" ht="12.75" customHeight="1"/>
    <row r="125" s="279" customFormat="1" ht="12.75" customHeight="1"/>
    <row r="126" s="279" customFormat="1" ht="12.75" customHeight="1"/>
    <row r="127" s="279" customFormat="1" ht="12.75" customHeight="1"/>
    <row r="128" s="279" customFormat="1" ht="12.75" customHeight="1"/>
    <row r="129" s="279" customFormat="1" ht="12.75" customHeight="1"/>
    <row r="130" s="279" customFormat="1" ht="12.75" customHeight="1"/>
    <row r="131" s="279" customFormat="1" ht="12.75" customHeight="1"/>
    <row r="132" s="279" customFormat="1" ht="12.75" customHeight="1"/>
    <row r="133" s="279" customFormat="1" ht="12.75" customHeight="1"/>
    <row r="134" s="279" customFormat="1" ht="12.75" customHeight="1"/>
    <row r="135" s="279" customFormat="1" ht="12.75" customHeight="1"/>
    <row r="136" s="279" customFormat="1" ht="12.75" customHeight="1"/>
    <row r="137" s="279" customFormat="1" ht="12.75" customHeight="1"/>
    <row r="138" s="279" customFormat="1" ht="12.75" customHeight="1"/>
    <row r="139" s="279" customFormat="1" ht="12.75" customHeight="1"/>
    <row r="140" s="279" customFormat="1" ht="12.75" customHeight="1"/>
    <row r="141" s="279" customFormat="1" ht="12.75" customHeight="1"/>
    <row r="142" s="279" customFormat="1" ht="12.75" customHeight="1"/>
    <row r="143" s="279" customFormat="1" ht="12.75" customHeight="1"/>
    <row r="144" s="279" customFormat="1" ht="12.75" customHeight="1"/>
    <row r="145" s="279" customFormat="1" ht="12.75" customHeight="1"/>
    <row r="146" s="279" customFormat="1" ht="12.75" customHeight="1"/>
    <row r="147" s="279" customFormat="1" ht="12.75" customHeight="1"/>
    <row r="148" s="279" customFormat="1" ht="12.75" customHeight="1"/>
    <row r="149" s="279" customFormat="1" ht="12.75" customHeight="1"/>
    <row r="150" s="279" customFormat="1" ht="12.75" customHeight="1"/>
    <row r="151" s="279" customFormat="1" ht="12.75" customHeight="1"/>
    <row r="152" s="279" customFormat="1" ht="12.75" customHeight="1"/>
    <row r="153" s="279" customFormat="1" ht="12.75" customHeight="1"/>
    <row r="154" s="279" customFormat="1" ht="12.75" customHeight="1"/>
    <row r="155" s="279" customFormat="1" ht="12.75" customHeight="1"/>
    <row r="156" s="279" customFormat="1" ht="12.75" customHeight="1"/>
    <row r="157" s="279" customFormat="1" ht="12.75" customHeight="1"/>
    <row r="158" s="279" customFormat="1" ht="12.75" customHeight="1"/>
    <row r="159" s="279" customFormat="1" ht="12.75" customHeight="1"/>
    <row r="160" s="279" customFormat="1" ht="12.75" customHeight="1"/>
    <row r="161" s="279" customFormat="1" ht="12.75" customHeight="1"/>
    <row r="162" s="279" customFormat="1" ht="12.75" customHeight="1"/>
    <row r="163" s="279" customFormat="1" ht="12.75" customHeight="1"/>
    <row r="164" s="279" customFormat="1" ht="12.75" customHeight="1"/>
    <row r="165" s="279" customFormat="1" ht="12.75" customHeight="1"/>
    <row r="166" s="279" customFormat="1" ht="12.75" customHeight="1"/>
    <row r="167" s="279" customFormat="1" ht="12.75" customHeight="1"/>
    <row r="168" s="279" customFormat="1" ht="12.75" customHeight="1"/>
    <row r="169" s="279" customFormat="1" ht="12.75" customHeight="1"/>
    <row r="170" s="279" customFormat="1" ht="12.75" customHeight="1"/>
    <row r="171" s="279" customFormat="1" ht="12.75" customHeight="1"/>
    <row r="172" s="279" customFormat="1" ht="12.75" customHeight="1"/>
    <row r="173" s="279" customFormat="1" ht="12.75" customHeight="1"/>
    <row r="174" s="279" customFormat="1" ht="12.75" customHeight="1"/>
    <row r="175" s="279" customFormat="1" ht="12.75" customHeight="1"/>
    <row r="176" s="279" customFormat="1" ht="12.75" customHeight="1"/>
    <row r="177" s="279" customFormat="1" ht="12.75" customHeight="1"/>
    <row r="178" s="279" customFormat="1" ht="12.75" customHeight="1"/>
    <row r="179" s="279" customFormat="1" ht="12.75" customHeight="1"/>
    <row r="180" s="279" customFormat="1" ht="12.75" customHeight="1"/>
    <row r="181" s="279" customFormat="1" ht="12.75" customHeight="1"/>
    <row r="182" s="279" customFormat="1" ht="12.75" customHeight="1"/>
    <row r="183" s="279" customFormat="1" ht="12.75" customHeight="1"/>
    <row r="184" s="279" customFormat="1" ht="12.75" customHeight="1"/>
    <row r="185" s="279" customFormat="1" ht="12.75" customHeight="1"/>
    <row r="186" s="279" customFormat="1" ht="12.75" customHeight="1"/>
    <row r="187" s="279" customFormat="1" ht="12.75" customHeight="1"/>
    <row r="188" s="279" customFormat="1" ht="12.75" customHeight="1"/>
    <row r="189" s="279" customFormat="1" ht="12.75" customHeight="1"/>
    <row r="190" s="279" customFormat="1" ht="12.75" customHeight="1"/>
    <row r="191" s="279" customFormat="1" ht="12.75" customHeight="1"/>
    <row r="192" s="279" customFormat="1" ht="12.75" customHeight="1"/>
    <row r="193" s="279" customFormat="1" ht="12.75" customHeight="1"/>
    <row r="194" s="279" customFormat="1" ht="12.75" customHeight="1"/>
    <row r="195" s="279" customFormat="1" ht="12.75" customHeight="1"/>
    <row r="196" s="279" customFormat="1" ht="12.75" customHeight="1"/>
    <row r="197" s="279" customFormat="1" ht="12.75" customHeight="1"/>
    <row r="198" s="279" customFormat="1" ht="12.75" customHeight="1"/>
    <row r="199" s="279" customFormat="1" ht="12.75" customHeight="1"/>
    <row r="200" s="279" customFormat="1" ht="12.75" customHeight="1"/>
    <row r="201" s="279" customFormat="1" ht="12.75" customHeight="1"/>
    <row r="202" s="279" customFormat="1" ht="12.75" customHeight="1"/>
    <row r="203" s="279" customFormat="1" ht="12.75" customHeight="1"/>
    <row r="204" s="279" customFormat="1" ht="12.75" customHeight="1"/>
    <row r="205" s="279" customFormat="1" ht="12.75" customHeight="1"/>
    <row r="206" s="279" customFormat="1" ht="12.75" customHeight="1"/>
    <row r="207" s="279" customFormat="1" ht="12.75" customHeight="1"/>
    <row r="208" s="279" customFormat="1" ht="12.75" customHeight="1"/>
    <row r="209" s="279" customFormat="1" ht="12.75" customHeight="1"/>
    <row r="210" s="279" customFormat="1" ht="12.75" customHeight="1"/>
    <row r="211" s="279" customFormat="1" ht="12.75" customHeight="1"/>
    <row r="212" s="279" customFormat="1" ht="12.75" customHeight="1"/>
    <row r="213" s="279" customFormat="1" ht="12.75" customHeight="1"/>
    <row r="214" s="279" customFormat="1" ht="12.75" customHeight="1"/>
    <row r="215" s="279" customFormat="1" ht="12.75" customHeight="1"/>
    <row r="216" s="279" customFormat="1" ht="12.75" customHeight="1"/>
    <row r="217" s="279" customFormat="1" ht="12.75" customHeight="1"/>
    <row r="218" s="279" customFormat="1" ht="12.75" customHeight="1"/>
    <row r="219" s="279" customFormat="1" ht="12.75" customHeight="1"/>
    <row r="220" s="279" customFormat="1" ht="12.75" customHeight="1"/>
    <row r="221" s="279" customFormat="1" ht="12.75" customHeight="1"/>
    <row r="222" s="279" customFormat="1" ht="12.75" customHeight="1"/>
    <row r="223" s="279" customFormat="1" ht="12.75" customHeight="1"/>
    <row r="224" s="279" customFormat="1" ht="12.75" customHeight="1"/>
    <row r="225" s="279" customFormat="1" ht="12.75" customHeight="1"/>
    <row r="226" s="279" customFormat="1" ht="12.75" customHeight="1"/>
    <row r="227" s="279" customFormat="1" ht="12.75" customHeight="1"/>
    <row r="228" s="279" customFormat="1" ht="12.75" customHeight="1"/>
    <row r="229" s="279" customFormat="1" ht="12.75" customHeight="1"/>
    <row r="230" s="279" customFormat="1" ht="12.75" customHeight="1"/>
    <row r="231" s="279" customFormat="1" ht="12.75" customHeight="1"/>
    <row r="232" s="279" customFormat="1" ht="12.75" customHeight="1"/>
    <row r="233" s="279" customFormat="1" ht="12.75" customHeight="1"/>
    <row r="234" s="279" customFormat="1" ht="12.75" customHeight="1"/>
    <row r="235" s="279" customFormat="1" ht="12.75" customHeight="1"/>
    <row r="236" s="279" customFormat="1" ht="12.75" customHeight="1"/>
    <row r="237" s="279" customFormat="1" ht="12.75" customHeight="1"/>
    <row r="238" s="279" customFormat="1" ht="12.75" customHeight="1"/>
    <row r="239" s="279" customFormat="1" ht="12.75" customHeight="1"/>
    <row r="240" s="279" customFormat="1" ht="12.75" customHeight="1"/>
    <row r="241" s="279" customFormat="1" ht="12.75" customHeight="1"/>
    <row r="242" s="279" customFormat="1" ht="12.75" customHeight="1"/>
    <row r="243" s="279" customFormat="1" ht="12.75" customHeight="1"/>
    <row r="244" s="279" customFormat="1" ht="12.75" customHeight="1"/>
    <row r="245" s="279" customFormat="1" ht="12.75" customHeight="1"/>
    <row r="246" s="279" customFormat="1" ht="12.75" customHeight="1"/>
    <row r="247" s="279" customFormat="1" ht="12.75" customHeight="1"/>
    <row r="248" s="279" customFormat="1" ht="12.75" customHeight="1"/>
    <row r="249" s="279" customFormat="1" ht="12.75" customHeight="1"/>
    <row r="250" s="279" customFormat="1" ht="12.75" customHeight="1"/>
    <row r="251" s="279" customFormat="1" ht="12.75" customHeight="1"/>
    <row r="252" s="279" customFormat="1" ht="12.75" customHeight="1"/>
    <row r="253" s="279" customFormat="1" ht="12.75" customHeight="1"/>
    <row r="254" s="279" customFormat="1" ht="12.75" customHeight="1"/>
    <row r="255" s="279" customFormat="1" ht="12.75" customHeight="1"/>
    <row r="256" s="279" customFormat="1" ht="12.75" customHeight="1"/>
    <row r="257" s="279" customFormat="1" ht="12.75" customHeight="1"/>
    <row r="258" s="279" customFormat="1" ht="15.75" customHeight="1"/>
    <row r="259" s="279" customFormat="1" ht="15.75" customHeight="1"/>
    <row r="260" s="279" customFormat="1" ht="15.75" customHeight="1"/>
    <row r="261" s="279" customFormat="1" ht="15.75" customHeight="1"/>
    <row r="262" s="279" customFormat="1" ht="15.75" customHeight="1"/>
    <row r="263" s="279" customFormat="1" ht="15.75" customHeight="1"/>
    <row r="264" s="279" customFormat="1" ht="15.75" customHeight="1"/>
    <row r="265" s="279" customFormat="1" ht="15.75" customHeight="1"/>
    <row r="266" s="279" customFormat="1" ht="15.75" customHeight="1"/>
    <row r="267" s="279" customFormat="1" ht="15.75" customHeight="1"/>
    <row r="268" s="279" customFormat="1" ht="15.75" customHeight="1"/>
    <row r="269" s="279" customFormat="1" ht="15.75" customHeight="1"/>
    <row r="270" s="279" customFormat="1" ht="15.75" customHeight="1"/>
    <row r="271" s="279" customFormat="1" ht="15.75" customHeight="1"/>
    <row r="272" s="279" customFormat="1" ht="15.75" customHeight="1"/>
    <row r="273" s="279" customFormat="1" ht="15.75" customHeight="1"/>
    <row r="274" s="279" customFormat="1" ht="15.75" customHeight="1"/>
    <row r="275" s="279" customFormat="1" ht="15.75" customHeight="1"/>
    <row r="276" s="279" customFormat="1" ht="15.75" customHeight="1"/>
    <row r="277" s="279" customFormat="1" ht="15.75" customHeight="1"/>
    <row r="278" s="279" customFormat="1" ht="15.75" customHeight="1"/>
    <row r="279" s="279" customFormat="1" ht="15.75" customHeight="1"/>
    <row r="280" s="279" customFormat="1" ht="15.75" customHeight="1"/>
    <row r="281" s="279" customFormat="1" ht="15.75" customHeight="1"/>
    <row r="282" s="279" customFormat="1" ht="15.75" customHeight="1"/>
    <row r="283" s="279" customFormat="1" ht="15.75" customHeight="1"/>
    <row r="284" s="279" customFormat="1" ht="15.75" customHeight="1"/>
    <row r="285" s="279" customFormat="1" ht="15.75" customHeight="1"/>
    <row r="286" s="279" customFormat="1" ht="15.75" customHeight="1"/>
    <row r="287" s="279" customFormat="1" ht="15.75" customHeight="1"/>
    <row r="288" s="279" customFormat="1" ht="15.75" customHeight="1"/>
    <row r="289" s="279" customFormat="1" ht="15.75" customHeight="1"/>
    <row r="290" s="279" customFormat="1" ht="15.75" customHeight="1"/>
    <row r="291" s="279" customFormat="1" ht="15.75" customHeight="1"/>
    <row r="292" s="279" customFormat="1" ht="15.75" customHeight="1"/>
    <row r="293" s="279" customFormat="1" ht="15.75" customHeight="1"/>
    <row r="294" s="279" customFormat="1" ht="15.75" customHeight="1"/>
    <row r="295" s="279" customFormat="1" ht="15.75" customHeight="1"/>
    <row r="296" s="279" customFormat="1" ht="15.75" customHeight="1"/>
    <row r="297" s="279" customFormat="1" ht="15.75" customHeight="1"/>
    <row r="298" s="279" customFormat="1" ht="15.75" customHeight="1"/>
    <row r="299" s="279" customFormat="1" ht="15.75" customHeight="1"/>
    <row r="300" s="279" customFormat="1" ht="15.75" customHeight="1"/>
    <row r="301" s="279" customFormat="1" ht="15.75" customHeight="1"/>
    <row r="302" s="279" customFormat="1" ht="15.75" customHeight="1"/>
    <row r="303" s="279" customFormat="1" ht="15.75" customHeight="1"/>
    <row r="304" s="279" customFormat="1" ht="15.75" customHeight="1"/>
    <row r="305" s="279" customFormat="1" ht="15.75" customHeight="1"/>
    <row r="306" s="279" customFormat="1" ht="15.75" customHeight="1"/>
    <row r="307" s="279" customFormat="1" ht="15.75" customHeight="1"/>
    <row r="308" s="279" customFormat="1" ht="15.75" customHeight="1"/>
    <row r="309" s="279" customFormat="1" ht="15.75" customHeight="1"/>
    <row r="310" s="279" customFormat="1" ht="15.75" customHeight="1"/>
    <row r="311" s="279" customFormat="1" ht="15.75" customHeight="1"/>
    <row r="312" s="279" customFormat="1" ht="15.75" customHeight="1"/>
    <row r="313" s="279" customFormat="1" ht="15.75" customHeight="1"/>
    <row r="314" s="279" customFormat="1" ht="15.75" customHeight="1"/>
    <row r="315" s="279" customFormat="1" ht="15.75" customHeight="1"/>
    <row r="316" s="279" customFormat="1" ht="15.75" customHeight="1"/>
    <row r="317" s="279" customFormat="1" ht="15.75" customHeight="1"/>
    <row r="318" s="279" customFormat="1" ht="15.75" customHeight="1"/>
    <row r="319" s="279" customFormat="1" ht="15.75" customHeight="1"/>
    <row r="320" s="279" customFormat="1" ht="15.75" customHeight="1"/>
    <row r="321" s="279" customFormat="1" ht="15.75" customHeight="1"/>
    <row r="322" s="279" customFormat="1" ht="15.75" customHeight="1"/>
    <row r="323" s="279" customFormat="1" ht="15.75" customHeight="1"/>
    <row r="324" s="279" customFormat="1" ht="15.75" customHeight="1"/>
    <row r="325" s="279" customFormat="1" ht="15.75" customHeight="1"/>
    <row r="326" s="279" customFormat="1" ht="15.75" customHeight="1"/>
    <row r="327" s="279" customFormat="1" ht="15.75" customHeight="1"/>
    <row r="328" s="279" customFormat="1" ht="15.75" customHeight="1"/>
    <row r="329" s="279" customFormat="1" ht="15.75" customHeight="1"/>
    <row r="330" s="279" customFormat="1" ht="15.75" customHeight="1"/>
    <row r="331" s="279" customFormat="1" ht="15.75" customHeight="1"/>
    <row r="332" s="279" customFormat="1" ht="15.75" customHeight="1"/>
    <row r="333" s="279" customFormat="1" ht="15.75" customHeight="1"/>
    <row r="334" s="279" customFormat="1" ht="15.75" customHeight="1"/>
    <row r="335" s="279" customFormat="1" ht="15.75" customHeight="1"/>
    <row r="336" s="279" customFormat="1" ht="15.75" customHeight="1"/>
    <row r="337" s="279" customFormat="1" ht="15.75" customHeight="1"/>
    <row r="338" s="279" customFormat="1" ht="15.75" customHeight="1"/>
    <row r="339" s="279" customFormat="1" ht="15.75" customHeight="1"/>
    <row r="340" s="279" customFormat="1" ht="15.75" customHeight="1"/>
    <row r="341" s="279" customFormat="1" ht="15.75" customHeight="1"/>
    <row r="342" s="279" customFormat="1" ht="15.75" customHeight="1"/>
    <row r="343" s="279" customFormat="1" ht="15.75" customHeight="1"/>
    <row r="344" s="279" customFormat="1" ht="15.75" customHeight="1"/>
    <row r="345" s="279" customFormat="1" ht="15.75" customHeight="1"/>
    <row r="346" s="279" customFormat="1" ht="15.75" customHeight="1"/>
    <row r="347" s="279" customFormat="1" ht="15.75" customHeight="1"/>
    <row r="348" s="279" customFormat="1" ht="15.75" customHeight="1"/>
    <row r="349" s="279" customFormat="1" ht="15.75" customHeight="1"/>
    <row r="350" s="279" customFormat="1" ht="15.75" customHeight="1"/>
    <row r="351" s="279" customFormat="1" ht="15.75" customHeight="1"/>
    <row r="352" s="279" customFormat="1" ht="15.75" customHeight="1"/>
    <row r="353" s="279" customFormat="1" ht="15.75" customHeight="1"/>
    <row r="354" s="279" customFormat="1" ht="15.75" customHeight="1"/>
    <row r="355" s="279" customFormat="1" ht="15.75" customHeight="1"/>
    <row r="356" s="279" customFormat="1" ht="15.75" customHeight="1"/>
    <row r="357" s="279" customFormat="1" ht="15.75" customHeight="1"/>
    <row r="358" s="279" customFormat="1" ht="15.75" customHeight="1"/>
    <row r="359" s="279" customFormat="1" ht="15.75" customHeight="1"/>
    <row r="360" s="279" customFormat="1" ht="15.75" customHeight="1"/>
    <row r="361" s="279" customFormat="1" ht="15.75" customHeight="1"/>
    <row r="362" s="279" customFormat="1" ht="15.75" customHeight="1"/>
    <row r="363" s="279" customFormat="1" ht="15.75" customHeight="1"/>
    <row r="364" s="279" customFormat="1" ht="15.75" customHeight="1"/>
    <row r="365" s="279" customFormat="1" ht="15.75" customHeight="1"/>
    <row r="366" s="279" customFormat="1" ht="15.75" customHeight="1"/>
    <row r="367" s="279" customFormat="1" ht="15.75" customHeight="1"/>
    <row r="368" s="279" customFormat="1" ht="15.75" customHeight="1"/>
    <row r="369" s="279" customFormat="1" ht="15.75" customHeight="1"/>
    <row r="370" s="279" customFormat="1" ht="15.75" customHeight="1"/>
    <row r="371" s="279" customFormat="1" ht="15.75" customHeight="1"/>
    <row r="372" s="279" customFormat="1" ht="15.75" customHeight="1"/>
    <row r="373" s="279" customFormat="1" ht="15.75" customHeight="1"/>
    <row r="374" s="279" customFormat="1" ht="15.75" customHeight="1"/>
    <row r="375" s="279" customFormat="1" ht="15.75" customHeight="1"/>
    <row r="376" s="279" customFormat="1" ht="15.75" customHeight="1"/>
    <row r="377" s="279" customFormat="1" ht="15.75" customHeight="1"/>
    <row r="378" s="279" customFormat="1" ht="15.75" customHeight="1"/>
    <row r="379" s="279" customFormat="1" ht="15.75" customHeight="1"/>
    <row r="380" s="279" customFormat="1" ht="15.75" customHeight="1"/>
    <row r="381" s="279" customFormat="1" ht="15.75" customHeight="1"/>
    <row r="382" s="279" customFormat="1" ht="15.75" customHeight="1"/>
    <row r="383" s="279" customFormat="1" ht="15.75" customHeight="1"/>
    <row r="384" s="279" customFormat="1" ht="15.75" customHeight="1"/>
    <row r="385" s="279" customFormat="1" ht="15.75" customHeight="1"/>
    <row r="386" s="279" customFormat="1" ht="15.75" customHeight="1"/>
    <row r="387" s="279" customFormat="1" ht="15.75" customHeight="1"/>
    <row r="388" s="279" customFormat="1" ht="15.75" customHeight="1"/>
    <row r="389" s="279" customFormat="1" ht="15.75" customHeight="1"/>
    <row r="390" s="279" customFormat="1" ht="15.75" customHeight="1"/>
    <row r="391" s="279" customFormat="1" ht="15.75" customHeight="1"/>
    <row r="392" s="279" customFormat="1" ht="15.75" customHeight="1"/>
    <row r="393" s="279" customFormat="1" ht="15.75" customHeight="1"/>
    <row r="394" s="279" customFormat="1" ht="15.75" customHeight="1"/>
    <row r="395" s="279" customFormat="1" ht="15.75" customHeight="1"/>
    <row r="396" s="279" customFormat="1" ht="15.75" customHeight="1"/>
    <row r="397" s="279" customFormat="1" ht="15.75" customHeight="1"/>
    <row r="398" s="279" customFormat="1" ht="15.75" customHeight="1"/>
    <row r="399" s="279" customFormat="1" ht="15.75" customHeight="1"/>
    <row r="400" s="279" customFormat="1" ht="15.75" customHeight="1"/>
    <row r="401" s="279" customFormat="1" ht="15.75" customHeight="1"/>
    <row r="402" s="279" customFormat="1" ht="15.75" customHeight="1"/>
    <row r="403" s="279" customFormat="1" ht="15.75" customHeight="1"/>
    <row r="404" s="279" customFormat="1" ht="15.75" customHeight="1"/>
    <row r="405" s="279" customFormat="1" ht="15.75" customHeight="1"/>
    <row r="406" s="279" customFormat="1" ht="15.75" customHeight="1"/>
    <row r="407" s="279" customFormat="1" ht="15.75" customHeight="1"/>
    <row r="408" s="279" customFormat="1" ht="15.75" customHeight="1"/>
    <row r="409" s="279" customFormat="1" ht="15.75" customHeight="1"/>
    <row r="410" s="279" customFormat="1" ht="15.75" customHeight="1"/>
    <row r="411" s="279" customFormat="1" ht="15.75" customHeight="1"/>
    <row r="412" s="279" customFormat="1" ht="15.75" customHeight="1"/>
    <row r="413" s="279" customFormat="1" ht="15.75" customHeight="1"/>
    <row r="414" s="279" customFormat="1" ht="15.75" customHeight="1"/>
    <row r="415" s="279" customFormat="1" ht="15.75" customHeight="1"/>
    <row r="416" s="279" customFormat="1" ht="15.75" customHeight="1"/>
    <row r="417" s="279" customFormat="1" ht="15.75" customHeight="1"/>
    <row r="418" s="279" customFormat="1" ht="15.75" customHeight="1"/>
    <row r="419" s="279" customFormat="1" ht="15.75" customHeight="1"/>
    <row r="420" s="279" customFormat="1" ht="15.75" customHeight="1"/>
    <row r="421" s="279" customFormat="1" ht="15.75" customHeight="1"/>
    <row r="422" s="279" customFormat="1" ht="15.75" customHeight="1"/>
    <row r="423" s="279" customFormat="1" ht="15.75" customHeight="1"/>
    <row r="424" s="279" customFormat="1" ht="15.75" customHeight="1"/>
    <row r="425" s="279" customFormat="1" ht="15.75" customHeight="1"/>
    <row r="426" s="279" customFormat="1" ht="15.75" customHeight="1"/>
    <row r="427" s="279" customFormat="1" ht="15.75" customHeight="1"/>
    <row r="428" s="279" customFormat="1" ht="15.75" customHeight="1"/>
    <row r="429" s="279" customFormat="1" ht="15.75" customHeight="1"/>
    <row r="430" s="279" customFormat="1" ht="15.75" customHeight="1"/>
    <row r="431" s="279" customFormat="1" ht="15.75" customHeight="1"/>
    <row r="432" s="279" customFormat="1" ht="15.75" customHeight="1"/>
    <row r="433" s="279" customFormat="1" ht="15.75" customHeight="1"/>
    <row r="434" s="279" customFormat="1" ht="15.75" customHeight="1"/>
    <row r="435" s="279" customFormat="1" ht="15.75" customHeight="1"/>
    <row r="436" s="279" customFormat="1" ht="15.75" customHeight="1"/>
    <row r="437" s="279" customFormat="1" ht="15.75" customHeight="1"/>
    <row r="438" s="279" customFormat="1" ht="15.75" customHeight="1"/>
    <row r="439" s="279" customFormat="1" ht="15.75" customHeight="1"/>
    <row r="440" s="279" customFormat="1" ht="15.75" customHeight="1"/>
    <row r="441" s="279" customFormat="1" ht="15.75" customHeight="1"/>
    <row r="442" s="279" customFormat="1" ht="15.75" customHeight="1"/>
    <row r="443" s="279" customFormat="1" ht="15.75" customHeight="1"/>
    <row r="444" s="279" customFormat="1" ht="15.75" customHeight="1"/>
    <row r="445" s="279" customFormat="1" ht="15.75" customHeight="1"/>
    <row r="446" s="279" customFormat="1" ht="15.75" customHeight="1"/>
    <row r="447" s="279" customFormat="1" ht="15.75" customHeight="1"/>
    <row r="448" s="279" customFormat="1" ht="15.75" customHeight="1"/>
    <row r="449" s="279" customFormat="1" ht="15.75" customHeight="1"/>
    <row r="450" s="279" customFormat="1" ht="15.75" customHeight="1"/>
    <row r="451" s="279" customFormat="1" ht="15.75" customHeight="1"/>
    <row r="452" s="279" customFormat="1" ht="15.75" customHeight="1"/>
    <row r="453" s="279" customFormat="1" ht="15.75" customHeight="1"/>
    <row r="454" s="279" customFormat="1" ht="15.75" customHeight="1"/>
    <row r="455" s="279" customFormat="1" ht="15.75" customHeight="1"/>
    <row r="456" s="279" customFormat="1" ht="15.75" customHeight="1"/>
    <row r="457" s="279" customFormat="1" ht="15.75" customHeight="1"/>
    <row r="458" s="279" customFormat="1" ht="15.75" customHeight="1"/>
    <row r="459" s="279" customFormat="1" ht="15.75" customHeight="1"/>
    <row r="460" s="279" customFormat="1" ht="15.75" customHeight="1"/>
    <row r="461" s="279" customFormat="1" ht="15.75" customHeight="1"/>
    <row r="462" s="279" customFormat="1" ht="15.75" customHeight="1"/>
    <row r="463" s="279" customFormat="1" ht="15.75" customHeight="1"/>
    <row r="464" s="279" customFormat="1" ht="15.75" customHeight="1"/>
    <row r="465" s="279" customFormat="1" ht="15.75" customHeight="1"/>
    <row r="466" s="279" customFormat="1" ht="15.75" customHeight="1"/>
    <row r="467" s="279" customFormat="1" ht="15.75" customHeight="1"/>
    <row r="468" s="279" customFormat="1" ht="15.75" customHeight="1"/>
    <row r="469" s="279" customFormat="1" ht="15.75" customHeight="1"/>
    <row r="470" s="279" customFormat="1" ht="15.75" customHeight="1"/>
    <row r="471" s="279" customFormat="1" ht="15.75" customHeight="1"/>
    <row r="472" s="279" customFormat="1" ht="15.75" customHeight="1"/>
    <row r="473" s="279" customFormat="1" ht="15.75" customHeight="1"/>
    <row r="474" s="279" customFormat="1" ht="15.75" customHeight="1"/>
    <row r="475" s="279" customFormat="1" ht="15.75" customHeight="1"/>
    <row r="476" s="279" customFormat="1" ht="15.75" customHeight="1"/>
    <row r="477" s="279" customFormat="1" ht="15.75" customHeight="1"/>
    <row r="478" s="279" customFormat="1" ht="15.75" customHeight="1"/>
    <row r="479" s="279" customFormat="1" ht="15.75" customHeight="1"/>
    <row r="480" s="279" customFormat="1" ht="15.75" customHeight="1"/>
    <row r="481" s="279" customFormat="1" ht="15.75" customHeight="1"/>
    <row r="482" s="279" customFormat="1" ht="15.75" customHeight="1"/>
    <row r="483" s="279" customFormat="1" ht="15.75" customHeight="1"/>
    <row r="484" s="279" customFormat="1" ht="15.75" customHeight="1"/>
    <row r="485" s="279" customFormat="1" ht="15.75" customHeight="1"/>
    <row r="486" s="279" customFormat="1" ht="15.75" customHeight="1"/>
    <row r="487" s="279" customFormat="1" ht="15.75" customHeight="1"/>
    <row r="488" s="279" customFormat="1" ht="15.75" customHeight="1"/>
    <row r="489" s="279" customFormat="1" ht="15.75" customHeight="1"/>
    <row r="490" s="279" customFormat="1" ht="15.75" customHeight="1"/>
    <row r="491" s="279" customFormat="1" ht="15.75" customHeight="1"/>
    <row r="492" s="279" customFormat="1" ht="15.75" customHeight="1"/>
    <row r="493" s="279" customFormat="1" ht="15.75" customHeight="1"/>
    <row r="494" s="279" customFormat="1" ht="15.75" customHeight="1"/>
    <row r="495" s="279" customFormat="1" ht="15.75" customHeight="1"/>
    <row r="496" s="279" customFormat="1" ht="15.75" customHeight="1"/>
    <row r="497" s="279" customFormat="1" ht="15.75" customHeight="1"/>
    <row r="498" s="279" customFormat="1" ht="15.75" customHeight="1"/>
    <row r="499" s="279" customFormat="1" ht="15.75" customHeight="1"/>
    <row r="500" s="279" customFormat="1" ht="15.75" customHeight="1"/>
    <row r="501" s="279" customFormat="1" ht="15.75" customHeight="1"/>
    <row r="502" s="279" customFormat="1" ht="15.75" customHeight="1"/>
    <row r="503" s="279" customFormat="1" ht="15.75" customHeight="1"/>
    <row r="504" s="279" customFormat="1" ht="15.75" customHeight="1"/>
    <row r="505" s="279" customFormat="1" ht="15.75" customHeight="1"/>
    <row r="506" s="279" customFormat="1" ht="15.75" customHeight="1"/>
    <row r="507" s="279" customFormat="1" ht="15.75" customHeight="1"/>
    <row r="508" s="279" customFormat="1" ht="15.75" customHeight="1"/>
    <row r="509" s="279" customFormat="1" ht="15.75" customHeight="1"/>
    <row r="510" s="279" customFormat="1" ht="15.75" customHeight="1"/>
    <row r="511" s="279" customFormat="1" ht="15.75" customHeight="1"/>
    <row r="512" s="279" customFormat="1" ht="15.75" customHeight="1"/>
    <row r="513" s="279" customFormat="1" ht="15.75" customHeight="1"/>
    <row r="514" s="279" customFormat="1" ht="15.75" customHeight="1"/>
    <row r="515" s="279" customFormat="1" ht="15.75" customHeight="1"/>
    <row r="516" s="279" customFormat="1" ht="15.75" customHeight="1"/>
    <row r="517" s="279" customFormat="1" ht="15.75" customHeight="1"/>
    <row r="518" s="279" customFormat="1" ht="15.75" customHeight="1"/>
    <row r="519" s="279" customFormat="1" ht="15.75" customHeight="1"/>
    <row r="520" s="279" customFormat="1" ht="15.75" customHeight="1"/>
    <row r="521" s="279" customFormat="1" ht="15.75" customHeight="1"/>
    <row r="522" s="279" customFormat="1" ht="15.75" customHeight="1"/>
    <row r="523" s="279" customFormat="1" ht="15.75" customHeight="1"/>
    <row r="524" s="279" customFormat="1" ht="15.75" customHeight="1"/>
    <row r="525" s="279" customFormat="1" ht="15.75" customHeight="1"/>
    <row r="526" s="279" customFormat="1" ht="15.75" customHeight="1"/>
    <row r="527" s="279" customFormat="1" ht="15.75" customHeight="1"/>
    <row r="528" s="279" customFormat="1" ht="15.75" customHeight="1"/>
    <row r="529" s="279" customFormat="1" ht="15.75" customHeight="1"/>
    <row r="530" s="279" customFormat="1" ht="15.75" customHeight="1"/>
    <row r="531" s="279" customFormat="1" ht="15.75" customHeight="1"/>
    <row r="532" s="279" customFormat="1" ht="15.75" customHeight="1"/>
    <row r="533" s="279" customFormat="1" ht="15.75" customHeight="1"/>
    <row r="534" s="279" customFormat="1" ht="15.75" customHeight="1"/>
    <row r="535" s="279" customFormat="1" ht="15.75" customHeight="1"/>
    <row r="536" s="279" customFormat="1" ht="15.75" customHeight="1"/>
    <row r="537" s="279" customFormat="1" ht="15.75" customHeight="1"/>
    <row r="538" s="279" customFormat="1" ht="15.75" customHeight="1"/>
    <row r="539" s="279" customFormat="1" ht="15.75" customHeight="1"/>
    <row r="540" s="279" customFormat="1" ht="15.75" customHeight="1"/>
    <row r="541" s="279" customFormat="1" ht="15.75" customHeight="1"/>
    <row r="542" s="279" customFormat="1" ht="15.75" customHeight="1"/>
    <row r="543" s="279" customFormat="1" ht="15.75" customHeight="1"/>
    <row r="544" s="279" customFormat="1" ht="15.75" customHeight="1"/>
    <row r="545" s="279" customFormat="1" ht="15.75" customHeight="1"/>
    <row r="546" s="279" customFormat="1" ht="15.75" customHeight="1"/>
    <row r="547" s="279" customFormat="1" ht="15.75" customHeight="1"/>
    <row r="548" s="279" customFormat="1" ht="15.75" customHeight="1"/>
    <row r="549" s="279" customFormat="1" ht="15.75" customHeight="1"/>
    <row r="550" s="279" customFormat="1" ht="15.75" customHeight="1"/>
    <row r="551" s="279" customFormat="1" ht="15.75" customHeight="1"/>
    <row r="552" s="279" customFormat="1" ht="15.75" customHeight="1"/>
    <row r="553" s="279" customFormat="1" ht="15.75" customHeight="1"/>
    <row r="554" s="279" customFormat="1" ht="15.75" customHeight="1"/>
    <row r="555" s="279" customFormat="1" ht="15.75" customHeight="1"/>
    <row r="556" s="279" customFormat="1" ht="15.75" customHeight="1"/>
    <row r="557" s="279" customFormat="1" ht="15.75" customHeight="1"/>
    <row r="558" s="279" customFormat="1" ht="15.75" customHeight="1"/>
    <row r="559" s="279" customFormat="1" ht="15.75" customHeight="1"/>
    <row r="560" s="279" customFormat="1" ht="15.75" customHeight="1"/>
    <row r="561" s="279" customFormat="1" ht="15.75" customHeight="1"/>
    <row r="562" s="279" customFormat="1" ht="15.75" customHeight="1"/>
    <row r="563" s="279" customFormat="1" ht="15.75" customHeight="1"/>
    <row r="564" s="279" customFormat="1" ht="15.75" customHeight="1"/>
    <row r="565" s="279" customFormat="1" ht="15.75" customHeight="1"/>
    <row r="566" s="279" customFormat="1" ht="15.75" customHeight="1"/>
    <row r="567" s="279" customFormat="1" ht="15.75" customHeight="1"/>
    <row r="568" s="279" customFormat="1" ht="15.75" customHeight="1"/>
    <row r="569" s="279" customFormat="1" ht="15.75" customHeight="1"/>
    <row r="570" s="279" customFormat="1" ht="15.75" customHeight="1"/>
    <row r="571" s="279" customFormat="1" ht="15.75" customHeight="1"/>
    <row r="572" s="279" customFormat="1" ht="15.75" customHeight="1"/>
    <row r="573" s="279" customFormat="1" ht="15.75" customHeight="1"/>
    <row r="574" s="279" customFormat="1" ht="15.75" customHeight="1"/>
    <row r="575" s="279" customFormat="1" ht="15.75" customHeight="1"/>
    <row r="576" s="279" customFormat="1" ht="15.75" customHeight="1"/>
    <row r="577" s="279" customFormat="1" ht="15.75" customHeight="1"/>
    <row r="578" s="279" customFormat="1" ht="15.75" customHeight="1"/>
    <row r="579" s="279" customFormat="1" ht="15.75" customHeight="1"/>
    <row r="580" s="279" customFormat="1" ht="15.75" customHeight="1"/>
    <row r="581" s="279" customFormat="1" ht="15.75" customHeight="1"/>
    <row r="582" s="279" customFormat="1" ht="15.75" customHeight="1"/>
    <row r="583" s="279" customFormat="1" ht="15.75" customHeight="1"/>
    <row r="584" s="279" customFormat="1" ht="15.75" customHeight="1"/>
    <row r="585" s="279" customFormat="1" ht="15.75" customHeight="1"/>
    <row r="586" s="279" customFormat="1" ht="15.75" customHeight="1"/>
    <row r="587" s="279" customFormat="1" ht="15.75" customHeight="1"/>
    <row r="588" s="279" customFormat="1" ht="15.75" customHeight="1"/>
    <row r="589" s="279" customFormat="1" ht="15.75" customHeight="1"/>
    <row r="590" s="279" customFormat="1" ht="15.75" customHeight="1"/>
    <row r="591" s="279" customFormat="1" ht="15.75" customHeight="1"/>
    <row r="592" s="279" customFormat="1" ht="15.75" customHeight="1"/>
    <row r="593" s="279" customFormat="1" ht="15.75" customHeight="1"/>
    <row r="594" s="279" customFormat="1" ht="15.75" customHeight="1"/>
    <row r="595" s="279" customFormat="1" ht="15.75" customHeight="1"/>
    <row r="596" s="279" customFormat="1" ht="15.75" customHeight="1"/>
    <row r="597" s="279" customFormat="1" ht="15.75" customHeight="1"/>
    <row r="598" s="279" customFormat="1" ht="15.75" customHeight="1"/>
    <row r="599" s="279" customFormat="1" ht="15.75" customHeight="1"/>
    <row r="600" s="279" customFormat="1" ht="15.75" customHeight="1"/>
    <row r="601" s="279" customFormat="1" ht="15.75" customHeight="1"/>
    <row r="602" s="279" customFormat="1" ht="15.75" customHeight="1"/>
    <row r="603" s="279" customFormat="1" ht="15.75" customHeight="1"/>
    <row r="604" s="279" customFormat="1" ht="15.75" customHeight="1"/>
    <row r="605" s="279" customFormat="1" ht="15.75" customHeight="1"/>
    <row r="606" s="279" customFormat="1" ht="15.75" customHeight="1"/>
    <row r="607" s="279" customFormat="1" ht="15.75" customHeight="1"/>
    <row r="608" s="279" customFormat="1" ht="15.75" customHeight="1"/>
    <row r="609" s="279" customFormat="1" ht="15.75" customHeight="1"/>
    <row r="610" s="279" customFormat="1" ht="15.75" customHeight="1"/>
    <row r="611" s="279" customFormat="1" ht="15.75" customHeight="1"/>
    <row r="612" s="279" customFormat="1" ht="15.75" customHeight="1"/>
    <row r="613" s="279" customFormat="1" ht="15.75" customHeight="1"/>
    <row r="614" s="279" customFormat="1" ht="15.75" customHeight="1"/>
    <row r="615" s="279" customFormat="1" ht="15.75" customHeight="1"/>
    <row r="616" s="279" customFormat="1" ht="15.75" customHeight="1"/>
    <row r="617" s="279" customFormat="1" ht="15.75" customHeight="1"/>
    <row r="618" s="279" customFormat="1" ht="15.75" customHeight="1"/>
    <row r="619" s="279" customFormat="1" ht="15.75" customHeight="1"/>
    <row r="620" s="279" customFormat="1" ht="15.75" customHeight="1"/>
    <row r="621" s="279" customFormat="1" ht="15.75" customHeight="1"/>
    <row r="622" s="279" customFormat="1" ht="15.75" customHeight="1"/>
    <row r="623" s="279" customFormat="1" ht="15.75" customHeight="1"/>
    <row r="624" s="279" customFormat="1" ht="15.75" customHeight="1"/>
    <row r="625" s="279" customFormat="1" ht="15.75" customHeight="1"/>
    <row r="626" s="279" customFormat="1" ht="15.75" customHeight="1"/>
    <row r="627" s="279" customFormat="1" ht="15.75" customHeight="1"/>
    <row r="628" s="279" customFormat="1" ht="15.75" customHeight="1"/>
    <row r="629" s="279" customFormat="1" ht="15.75" customHeight="1"/>
    <row r="630" s="279" customFormat="1" ht="15.75" customHeight="1"/>
    <row r="631" s="279" customFormat="1" ht="15.75" customHeight="1"/>
    <row r="632" s="279" customFormat="1" ht="15.75" customHeight="1"/>
    <row r="633" s="279" customFormat="1" ht="15.75" customHeight="1"/>
    <row r="634" s="279" customFormat="1" ht="15.75" customHeight="1"/>
    <row r="635" s="279" customFormat="1" ht="15.75" customHeight="1"/>
    <row r="636" s="279" customFormat="1" ht="15.75" customHeight="1"/>
    <row r="637" s="279" customFormat="1" ht="15.75" customHeight="1"/>
    <row r="638" s="279" customFormat="1" ht="15.75" customHeight="1"/>
    <row r="639" s="279" customFormat="1" ht="15.75" customHeight="1"/>
    <row r="640" s="279" customFormat="1" ht="15.75" customHeight="1"/>
    <row r="641" s="279" customFormat="1" ht="15.75" customHeight="1"/>
    <row r="642" s="279" customFormat="1" ht="15.75" customHeight="1"/>
    <row r="643" s="279" customFormat="1" ht="15.75" customHeight="1"/>
    <row r="644" s="279" customFormat="1" ht="15.75" customHeight="1"/>
    <row r="645" s="279" customFormat="1" ht="15.75" customHeight="1"/>
    <row r="646" s="279" customFormat="1" ht="15.75" customHeight="1"/>
    <row r="647" s="279" customFormat="1" ht="15.75" customHeight="1"/>
    <row r="648" s="279" customFormat="1" ht="15.75" customHeight="1"/>
    <row r="649" s="279" customFormat="1" ht="15.75" customHeight="1"/>
    <row r="650" s="279" customFormat="1" ht="15.75" customHeight="1"/>
    <row r="651" s="279" customFormat="1" ht="15.75" customHeight="1"/>
    <row r="652" s="279" customFormat="1" ht="15.75" customHeight="1"/>
    <row r="653" s="279" customFormat="1" ht="15.75" customHeight="1"/>
    <row r="654" s="279" customFormat="1" ht="15.75" customHeight="1"/>
    <row r="655" s="279" customFormat="1" ht="15.75" customHeight="1"/>
    <row r="656" s="279" customFormat="1" ht="15.75" customHeight="1"/>
    <row r="657" s="279" customFormat="1" ht="15.75" customHeight="1"/>
    <row r="658" s="279" customFormat="1" ht="15.75" customHeight="1"/>
    <row r="659" s="279" customFormat="1" ht="15.75" customHeight="1"/>
    <row r="660" s="279" customFormat="1" ht="15.75" customHeight="1"/>
    <row r="661" s="279" customFormat="1" ht="15.75" customHeight="1"/>
    <row r="662" s="279" customFormat="1" ht="15.75" customHeight="1"/>
    <row r="663" s="279" customFormat="1" ht="15.75" customHeight="1"/>
    <row r="664" s="279" customFormat="1" ht="15.75" customHeight="1"/>
    <row r="665" s="279" customFormat="1" ht="15.75" customHeight="1"/>
    <row r="666" s="279" customFormat="1" ht="15.75" customHeight="1"/>
    <row r="667" s="279" customFormat="1" ht="15.75" customHeight="1"/>
    <row r="668" s="279" customFormat="1" ht="15.75" customHeight="1"/>
    <row r="669" s="279" customFormat="1" ht="15.75" customHeight="1"/>
    <row r="670" s="279" customFormat="1" ht="15.75" customHeight="1"/>
    <row r="671" s="279" customFormat="1" ht="15.75" customHeight="1"/>
    <row r="672" s="279" customFormat="1" ht="15.75" customHeight="1"/>
    <row r="673" s="279" customFormat="1" ht="15.75" customHeight="1"/>
    <row r="674" s="279" customFormat="1" ht="15.75" customHeight="1"/>
    <row r="675" s="279" customFormat="1" ht="15.75" customHeight="1"/>
    <row r="676" s="279" customFormat="1" ht="15.75" customHeight="1"/>
    <row r="677" s="279" customFormat="1" ht="15.75" customHeight="1"/>
    <row r="678" s="279" customFormat="1" ht="15.75" customHeight="1"/>
    <row r="679" s="279" customFormat="1" ht="15.75" customHeight="1"/>
    <row r="680" s="279" customFormat="1" ht="15.75" customHeight="1"/>
    <row r="681" s="279" customFormat="1" ht="15.75" customHeight="1"/>
    <row r="682" s="279" customFormat="1" ht="15.75" customHeight="1"/>
    <row r="683" s="279" customFormat="1" ht="15.75" customHeight="1"/>
    <row r="684" s="279" customFormat="1" ht="15.75" customHeight="1"/>
    <row r="685" s="279" customFormat="1" ht="15.75" customHeight="1"/>
    <row r="686" s="279" customFormat="1" ht="15.75" customHeight="1"/>
    <row r="687" s="279" customFormat="1" ht="15.75" customHeight="1"/>
    <row r="688" s="279" customFormat="1" ht="15.75" customHeight="1"/>
    <row r="689" s="279" customFormat="1" ht="15.75" customHeight="1"/>
    <row r="690" s="279" customFormat="1" ht="15.75" customHeight="1"/>
    <row r="691" s="279" customFormat="1" ht="15.75" customHeight="1"/>
    <row r="692" s="279" customFormat="1" ht="15.75" customHeight="1"/>
    <row r="693" s="279" customFormat="1" ht="15.75" customHeight="1"/>
    <row r="694" s="279" customFormat="1" ht="15.75" customHeight="1"/>
    <row r="695" s="279" customFormat="1" ht="15.75" customHeight="1"/>
    <row r="696" s="279" customFormat="1" ht="15.75" customHeight="1"/>
    <row r="697" s="279" customFormat="1" ht="15.75" customHeight="1"/>
    <row r="698" s="279" customFormat="1" ht="15.75" customHeight="1"/>
    <row r="699" s="279" customFormat="1" ht="15.75" customHeight="1"/>
    <row r="700" s="279" customFormat="1" ht="15.75" customHeight="1"/>
    <row r="701" s="279" customFormat="1" ht="15.75" customHeight="1"/>
    <row r="702" s="279" customFormat="1" ht="15.75" customHeight="1"/>
    <row r="703" s="279" customFormat="1" ht="15.75" customHeight="1"/>
    <row r="704" s="279" customFormat="1" ht="15.75" customHeight="1"/>
    <row r="705" s="279" customFormat="1" ht="15.75" customHeight="1"/>
    <row r="706" s="279" customFormat="1" ht="15.75" customHeight="1"/>
    <row r="707" s="279" customFormat="1" ht="15.75" customHeight="1"/>
    <row r="708" s="279" customFormat="1" ht="15.75" customHeight="1"/>
    <row r="709" s="279" customFormat="1" ht="15.75" customHeight="1"/>
    <row r="710" s="279" customFormat="1" ht="15.75" customHeight="1"/>
    <row r="711" s="279" customFormat="1" ht="15.75" customHeight="1"/>
    <row r="712" s="279" customFormat="1" ht="15.75" customHeight="1"/>
    <row r="713" s="279" customFormat="1" ht="15.75" customHeight="1"/>
    <row r="714" s="279" customFormat="1" ht="15.75" customHeight="1"/>
    <row r="715" s="279" customFormat="1" ht="15.75" customHeight="1"/>
    <row r="716" s="279" customFormat="1" ht="15.75" customHeight="1"/>
    <row r="717" s="279" customFormat="1" ht="15.75" customHeight="1"/>
    <row r="718" s="279" customFormat="1" ht="15.75" customHeight="1"/>
    <row r="719" s="279" customFormat="1" ht="15.75" customHeight="1"/>
    <row r="720" s="279" customFormat="1" ht="15.75" customHeight="1"/>
    <row r="721" s="279" customFormat="1" ht="15.75" customHeight="1"/>
    <row r="722" s="279" customFormat="1" ht="15.75" customHeight="1"/>
    <row r="723" s="279" customFormat="1" ht="15.75" customHeight="1"/>
    <row r="724" s="279" customFormat="1" ht="15.75" customHeight="1"/>
    <row r="725" s="279" customFormat="1" ht="15.75" customHeight="1"/>
    <row r="726" s="279" customFormat="1" ht="15.75" customHeight="1"/>
    <row r="727" s="279" customFormat="1" ht="15.75" customHeight="1"/>
    <row r="728" s="279" customFormat="1" ht="15.75" customHeight="1"/>
    <row r="729" s="279" customFormat="1" ht="15.75" customHeight="1"/>
    <row r="730" s="279" customFormat="1" ht="15.75" customHeight="1"/>
    <row r="731" s="279" customFormat="1" ht="15.75" customHeight="1"/>
    <row r="732" s="279" customFormat="1" ht="15.75" customHeight="1"/>
    <row r="733" s="279" customFormat="1" ht="15.75" customHeight="1"/>
    <row r="734" s="279" customFormat="1" ht="15.75" customHeight="1"/>
    <row r="735" s="279" customFormat="1" ht="15.75" customHeight="1"/>
    <row r="736" s="279" customFormat="1" ht="15.75" customHeight="1"/>
    <row r="737" s="279" customFormat="1" ht="15.75" customHeight="1"/>
    <row r="738" s="279" customFormat="1" ht="15.75" customHeight="1"/>
    <row r="739" s="279" customFormat="1" ht="15.75" customHeight="1"/>
    <row r="740" s="279" customFormat="1" ht="15.75" customHeight="1"/>
    <row r="741" s="279" customFormat="1" ht="15.75" customHeight="1"/>
    <row r="742" s="279" customFormat="1" ht="15.75" customHeight="1"/>
    <row r="743" s="279" customFormat="1" ht="15.75" customHeight="1"/>
    <row r="744" s="279" customFormat="1" ht="15.75" customHeight="1"/>
    <row r="745" s="279" customFormat="1" ht="15.75" customHeight="1"/>
    <row r="746" s="279" customFormat="1" ht="15.75" customHeight="1"/>
    <row r="747" s="279" customFormat="1" ht="15.75" customHeight="1"/>
    <row r="748" s="279" customFormat="1" ht="15.75" customHeight="1"/>
    <row r="749" s="279" customFormat="1" ht="15.75" customHeight="1"/>
    <row r="750" s="279" customFormat="1" ht="15.75" customHeight="1"/>
    <row r="751" s="279" customFormat="1" ht="15.75" customHeight="1"/>
    <row r="752" s="279" customFormat="1" ht="15.75" customHeight="1"/>
    <row r="753" s="279" customFormat="1" ht="15.75" customHeight="1"/>
    <row r="754" s="279" customFormat="1" ht="15.75" customHeight="1"/>
    <row r="755" s="279" customFormat="1" ht="15.75" customHeight="1"/>
    <row r="756" s="279" customFormat="1" ht="15.75" customHeight="1"/>
    <row r="757" s="279" customFormat="1" ht="15.75" customHeight="1"/>
    <row r="758" s="279" customFormat="1" ht="15.75" customHeight="1"/>
    <row r="759" s="279" customFormat="1" ht="15.75" customHeight="1"/>
    <row r="760" s="279" customFormat="1" ht="15.75" customHeight="1"/>
    <row r="761" s="279" customFormat="1" ht="15.75" customHeight="1"/>
    <row r="762" s="279" customFormat="1" ht="15.75" customHeight="1"/>
    <row r="763" s="279" customFormat="1" ht="15.75" customHeight="1"/>
    <row r="764" s="279" customFormat="1" ht="15.75" customHeight="1"/>
    <row r="765" s="279" customFormat="1" ht="15.75" customHeight="1"/>
    <row r="766" s="279" customFormat="1" ht="15.75" customHeight="1"/>
    <row r="767" s="279" customFormat="1" ht="15.75" customHeight="1"/>
    <row r="768" s="279" customFormat="1" ht="15.75" customHeight="1"/>
    <row r="769" s="279" customFormat="1" ht="15.75" customHeight="1"/>
    <row r="770" s="279" customFormat="1" ht="15.75" customHeight="1"/>
    <row r="771" s="279" customFormat="1" ht="15.75" customHeight="1"/>
    <row r="772" s="279" customFormat="1" ht="15.75" customHeight="1"/>
    <row r="773" s="279" customFormat="1" ht="15.75" customHeight="1"/>
    <row r="774" s="279" customFormat="1" ht="15.75" customHeight="1"/>
    <row r="775" s="279" customFormat="1" ht="15.75" customHeight="1"/>
    <row r="776" s="279" customFormat="1" ht="15.75" customHeight="1"/>
    <row r="777" s="279" customFormat="1" ht="15.75" customHeight="1"/>
    <row r="778" s="279" customFormat="1" ht="15.75" customHeight="1"/>
    <row r="779" s="279" customFormat="1" ht="15.75" customHeight="1"/>
    <row r="780" s="279" customFormat="1" ht="15.75" customHeight="1"/>
    <row r="781" s="279" customFormat="1" ht="15.75" customHeight="1"/>
    <row r="782" s="279" customFormat="1" ht="15.75" customHeight="1"/>
    <row r="783" s="279" customFormat="1" ht="15.75" customHeight="1"/>
    <row r="784" s="279" customFormat="1" ht="15.75" customHeight="1"/>
    <row r="785" s="279" customFormat="1" ht="15.75" customHeight="1"/>
    <row r="786" s="279" customFormat="1" ht="15.75" customHeight="1"/>
    <row r="787" s="279" customFormat="1" ht="15.75" customHeight="1"/>
    <row r="788" s="279" customFormat="1" ht="15.75" customHeight="1"/>
    <row r="789" s="279" customFormat="1" ht="15.75" customHeight="1"/>
    <row r="790" s="279" customFormat="1" ht="15.75" customHeight="1"/>
    <row r="791" s="279" customFormat="1" ht="15.75" customHeight="1"/>
    <row r="792" s="279" customFormat="1" ht="15.75" customHeight="1"/>
    <row r="793" s="279" customFormat="1" ht="15.75" customHeight="1"/>
    <row r="794" s="279" customFormat="1" ht="15.75" customHeight="1"/>
    <row r="795" s="279" customFormat="1" ht="15.75" customHeight="1"/>
    <row r="796" s="279" customFormat="1" ht="15.75" customHeight="1"/>
    <row r="797" s="279" customFormat="1" ht="15.75" customHeight="1"/>
    <row r="798" s="279" customFormat="1" ht="15.75" customHeight="1"/>
    <row r="799" s="279" customFormat="1" ht="15.75" customHeight="1"/>
    <row r="800" s="279" customFormat="1" ht="15.75" customHeight="1"/>
    <row r="801" s="279" customFormat="1" ht="15.75" customHeight="1"/>
    <row r="802" s="279" customFormat="1" ht="15.75" customHeight="1"/>
    <row r="803" s="279" customFormat="1" ht="15.75" customHeight="1"/>
    <row r="804" s="279" customFormat="1" ht="15.75" customHeight="1"/>
    <row r="805" s="279" customFormat="1" ht="15.75" customHeight="1"/>
    <row r="806" s="279" customFormat="1" ht="15.75" customHeight="1"/>
    <row r="807" s="279" customFormat="1" ht="15.75" customHeight="1"/>
    <row r="808" s="279" customFormat="1" ht="15.75" customHeight="1"/>
    <row r="809" s="279" customFormat="1" ht="15.75" customHeight="1"/>
    <row r="810" s="279" customFormat="1" ht="15.75" customHeight="1"/>
    <row r="811" s="279" customFormat="1" ht="15.75" customHeight="1"/>
    <row r="812" s="279" customFormat="1" ht="15.75" customHeight="1"/>
    <row r="813" s="279" customFormat="1" ht="15.75" customHeight="1"/>
    <row r="814" s="279" customFormat="1" ht="15.75" customHeight="1"/>
    <row r="815" s="279" customFormat="1" ht="15.75" customHeight="1"/>
    <row r="816" s="279" customFormat="1" ht="15.75" customHeight="1"/>
    <row r="817" s="279" customFormat="1" ht="15.75" customHeight="1"/>
    <row r="818" s="279" customFormat="1" ht="15.75" customHeight="1"/>
    <row r="819" s="279" customFormat="1" ht="15.75" customHeight="1"/>
    <row r="820" s="279" customFormat="1" ht="15.75" customHeight="1"/>
    <row r="821" s="279" customFormat="1" ht="15.75" customHeight="1"/>
    <row r="822" s="279" customFormat="1" ht="15.75" customHeight="1"/>
    <row r="823" s="279" customFormat="1" ht="15.75" customHeight="1"/>
    <row r="824" s="279" customFormat="1" ht="15.75" customHeight="1"/>
    <row r="825" s="279" customFormat="1" ht="15.75" customHeight="1"/>
    <row r="826" s="279" customFormat="1" ht="15.75" customHeight="1"/>
    <row r="827" s="279" customFormat="1" ht="15.75" customHeight="1"/>
    <row r="828" s="279" customFormat="1" ht="15.75" customHeight="1"/>
    <row r="829" s="279" customFormat="1" ht="15.75" customHeight="1"/>
    <row r="830" s="279" customFormat="1" ht="15.75" customHeight="1"/>
    <row r="831" s="279" customFormat="1" ht="15.75" customHeight="1"/>
    <row r="832" s="279" customFormat="1" ht="15.75" customHeight="1"/>
    <row r="833" s="279" customFormat="1" ht="15.75" customHeight="1"/>
    <row r="834" s="279" customFormat="1" ht="15.75" customHeight="1"/>
    <row r="835" s="279" customFormat="1" ht="15.75" customHeight="1"/>
    <row r="836" s="279" customFormat="1" ht="15.75" customHeight="1"/>
    <row r="837" s="279" customFormat="1" ht="15.75" customHeight="1"/>
    <row r="838" s="279" customFormat="1" ht="15.75" customHeight="1"/>
    <row r="839" s="279" customFormat="1" ht="15.75" customHeight="1"/>
    <row r="840" s="279" customFormat="1" ht="15.75" customHeight="1"/>
    <row r="841" s="279" customFormat="1" ht="15.75" customHeight="1"/>
    <row r="842" s="279" customFormat="1" ht="15.75" customHeight="1"/>
    <row r="843" s="279" customFormat="1" ht="15.75" customHeight="1"/>
    <row r="844" s="279" customFormat="1" ht="15.75" customHeight="1"/>
    <row r="845" s="279" customFormat="1" ht="15.75" customHeight="1"/>
    <row r="846" s="279" customFormat="1" ht="15.75" customHeight="1"/>
    <row r="847" s="279" customFormat="1" ht="15.75" customHeight="1"/>
    <row r="848" s="279" customFormat="1" ht="15.75" customHeight="1"/>
    <row r="849" s="279" customFormat="1" ht="15.75" customHeight="1"/>
    <row r="850" s="279" customFormat="1" ht="15.75" customHeight="1"/>
    <row r="851" s="279" customFormat="1" ht="15.75" customHeight="1"/>
    <row r="852" s="279" customFormat="1" ht="15.75" customHeight="1"/>
    <row r="853" s="279" customFormat="1" ht="15.75" customHeight="1"/>
    <row r="854" s="279" customFormat="1" ht="15.75" customHeight="1"/>
    <row r="855" s="279" customFormat="1" ht="15.75" customHeight="1"/>
    <row r="856" s="279" customFormat="1" ht="15.75" customHeight="1"/>
    <row r="857" s="279" customFormat="1" ht="15.75" customHeight="1"/>
    <row r="858" s="279" customFormat="1" ht="15.75" customHeight="1"/>
    <row r="859" s="279" customFormat="1" ht="15.75" customHeight="1"/>
    <row r="860" s="279" customFormat="1" ht="15.75" customHeight="1"/>
    <row r="861" s="279" customFormat="1" ht="15.75" customHeight="1"/>
    <row r="862" s="279" customFormat="1" ht="15.75" customHeight="1"/>
    <row r="863" s="279" customFormat="1" ht="15.75" customHeight="1"/>
    <row r="864" s="279" customFormat="1" ht="15.75" customHeight="1"/>
    <row r="865" s="279" customFormat="1" ht="15.75" customHeight="1"/>
    <row r="866" s="279" customFormat="1" ht="15.75" customHeight="1"/>
    <row r="867" s="279" customFormat="1" ht="15.75" customHeight="1"/>
    <row r="868" s="279" customFormat="1" ht="15.75" customHeight="1"/>
    <row r="869" s="279" customFormat="1" ht="15.75" customHeight="1"/>
    <row r="870" s="279" customFormat="1" ht="15.75" customHeight="1"/>
    <row r="871" s="279" customFormat="1" ht="15.75" customHeight="1"/>
    <row r="872" s="279" customFormat="1" ht="15.75" customHeight="1"/>
    <row r="873" s="279" customFormat="1" ht="15.75" customHeight="1"/>
    <row r="874" s="279" customFormat="1" ht="15.75" customHeight="1"/>
    <row r="875" s="279" customFormat="1" ht="15.75" customHeight="1"/>
    <row r="876" s="279" customFormat="1" ht="15.75" customHeight="1"/>
    <row r="877" s="279" customFormat="1" ht="15.75" customHeight="1"/>
    <row r="878" s="279" customFormat="1" ht="15.75" customHeight="1"/>
    <row r="879" s="279" customFormat="1" ht="15.75" customHeight="1"/>
    <row r="880" s="279" customFormat="1" ht="15.75" customHeight="1"/>
    <row r="881" s="279" customFormat="1" ht="15.75" customHeight="1"/>
    <row r="882" s="279" customFormat="1" ht="15.75" customHeight="1"/>
    <row r="883" s="279" customFormat="1" ht="15.75" customHeight="1"/>
    <row r="884" s="279" customFormat="1" ht="15.75" customHeight="1"/>
    <row r="885" s="279" customFormat="1" ht="15.75" customHeight="1"/>
    <row r="886" s="279" customFormat="1" ht="15.75" customHeight="1"/>
    <row r="887" s="279" customFormat="1" ht="15.75" customHeight="1"/>
    <row r="888" s="279" customFormat="1" ht="15.75" customHeight="1"/>
    <row r="889" s="279" customFormat="1" ht="15.75" customHeight="1"/>
    <row r="890" s="279" customFormat="1" ht="15.75" customHeight="1"/>
    <row r="891" s="279" customFormat="1" ht="15.75" customHeight="1"/>
    <row r="892" s="279" customFormat="1" ht="15.75" customHeight="1"/>
    <row r="893" s="279" customFormat="1" ht="15.75" customHeight="1"/>
    <row r="894" s="279" customFormat="1" ht="15.75" customHeight="1"/>
    <row r="895" s="279" customFormat="1" ht="15.75" customHeight="1"/>
    <row r="896" s="279" customFormat="1" ht="15.75" customHeight="1"/>
    <row r="897" s="279" customFormat="1" ht="15.75" customHeight="1"/>
    <row r="898" s="279" customFormat="1" ht="15.75" customHeight="1"/>
    <row r="899" s="279" customFormat="1" ht="15.75" customHeight="1"/>
    <row r="900" s="279" customFormat="1" ht="15.75" customHeight="1"/>
    <row r="901" s="279" customFormat="1" ht="15.75" customHeight="1"/>
    <row r="902" s="279" customFormat="1" ht="15.75" customHeight="1"/>
    <row r="903" s="279" customFormat="1" ht="15.75" customHeight="1"/>
    <row r="904" s="279" customFormat="1" ht="15.75" customHeight="1"/>
    <row r="905" s="279" customFormat="1" ht="15.75" customHeight="1"/>
    <row r="906" s="279" customFormat="1" ht="15.75" customHeight="1"/>
    <row r="907" s="279" customFormat="1" ht="15.75" customHeight="1"/>
    <row r="908" s="279" customFormat="1" ht="15.75" customHeight="1"/>
    <row r="909" s="279" customFormat="1" ht="15.75" customHeight="1"/>
    <row r="910" s="279" customFormat="1" ht="15.75" customHeight="1"/>
    <row r="911" s="279" customFormat="1" ht="15.75" customHeight="1"/>
    <row r="912" s="279" customFormat="1" ht="15.75" customHeight="1"/>
    <row r="913" s="279" customFormat="1" ht="15.75" customHeight="1"/>
    <row r="914" s="279" customFormat="1" ht="15.75" customHeight="1"/>
    <row r="915" s="279" customFormat="1" ht="15.75" customHeight="1"/>
    <row r="916" s="279" customFormat="1" ht="15.75" customHeight="1"/>
    <row r="917" s="279" customFormat="1" ht="15.75" customHeight="1"/>
    <row r="918" s="279" customFormat="1" ht="15.75" customHeight="1"/>
    <row r="919" s="279" customFormat="1" ht="15.75" customHeight="1"/>
    <row r="920" s="279" customFormat="1" ht="15.75" customHeight="1"/>
    <row r="921" s="279" customFormat="1" ht="15.75" customHeight="1"/>
    <row r="922" s="279" customFormat="1" ht="15.75" customHeight="1"/>
    <row r="923" s="279" customFormat="1" ht="15.75" customHeight="1"/>
    <row r="924" s="279" customFormat="1" ht="15.75" customHeight="1"/>
    <row r="925" s="279" customFormat="1" ht="15.75" customHeight="1"/>
    <row r="926" s="279" customFormat="1" ht="15.75" customHeight="1"/>
    <row r="927" s="279" customFormat="1" ht="15.75" customHeight="1"/>
    <row r="928" s="279" customFormat="1" ht="15.75" customHeight="1"/>
    <row r="929" s="279" customFormat="1" ht="15.75" customHeight="1"/>
    <row r="930" s="279" customFormat="1" ht="15.75" customHeight="1"/>
    <row r="931" s="279" customFormat="1" ht="15.75" customHeight="1"/>
    <row r="932" s="279" customFormat="1" ht="15.75" customHeight="1"/>
    <row r="933" s="279" customFormat="1" ht="15.75" customHeight="1"/>
    <row r="934" s="279" customFormat="1" ht="15.75" customHeight="1"/>
    <row r="935" s="279" customFormat="1" ht="15.75" customHeight="1"/>
    <row r="936" s="279" customFormat="1" ht="15.75" customHeight="1"/>
    <row r="937" s="279" customFormat="1" ht="15.75" customHeight="1"/>
    <row r="938" s="279" customFormat="1" ht="15.75" customHeight="1"/>
    <row r="939" s="279" customFormat="1" ht="15.75" customHeight="1"/>
    <row r="940" s="279" customFormat="1" ht="15.75" customHeight="1"/>
    <row r="941" s="279" customFormat="1" ht="15.75" customHeight="1"/>
    <row r="942" s="279" customFormat="1" ht="15.75" customHeight="1"/>
    <row r="943" s="279" customFormat="1" ht="15.75" customHeight="1"/>
    <row r="944" s="279" customFormat="1" ht="15.75" customHeight="1"/>
    <row r="945" s="279" customFormat="1" ht="15.75" customHeight="1"/>
    <row r="946" s="279" customFormat="1" ht="15.75" customHeight="1"/>
    <row r="947" s="279" customFormat="1" ht="15.75" customHeight="1"/>
    <row r="948" s="279" customFormat="1" ht="15.75" customHeight="1"/>
    <row r="949" s="279" customFormat="1" ht="15.75" customHeight="1"/>
    <row r="950" s="279" customFormat="1" ht="15.75" customHeight="1"/>
    <row r="951" s="279" customFormat="1" ht="15.75" customHeight="1"/>
    <row r="952" s="279" customFormat="1" ht="15.75" customHeight="1"/>
    <row r="953" s="279" customFormat="1" ht="15.75" customHeight="1"/>
    <row r="954" s="279" customFormat="1" ht="15.75" customHeight="1"/>
    <row r="955" s="279" customFormat="1" ht="15.75" customHeight="1"/>
    <row r="956" s="279" customFormat="1" ht="15.75" customHeight="1"/>
    <row r="957" s="279" customFormat="1" ht="15.75" customHeight="1"/>
    <row r="958" s="279" customFormat="1" ht="15.75" customHeight="1"/>
    <row r="959" s="279" customFormat="1" ht="15.75" customHeight="1"/>
    <row r="960" s="279" customFormat="1" ht="15.75" customHeight="1"/>
    <row r="961" s="279" customFormat="1" ht="15.75" customHeight="1"/>
    <row r="962" s="279" customFormat="1" ht="15.75" customHeight="1"/>
    <row r="963" s="279" customFormat="1" ht="15.75" customHeight="1"/>
    <row r="964" s="279" customFormat="1" ht="15.75" customHeight="1"/>
    <row r="965" s="279" customFormat="1" ht="15.75" customHeight="1"/>
    <row r="966" s="279" customFormat="1" ht="15.75" customHeight="1"/>
    <row r="967" s="279" customFormat="1" ht="15.75" customHeight="1"/>
    <row r="968" s="279" customFormat="1" ht="15.75" customHeight="1"/>
    <row r="969" s="279" customFormat="1" ht="15.75" customHeight="1"/>
    <row r="970" s="279" customFormat="1" ht="15.75" customHeight="1"/>
    <row r="971" s="279" customFormat="1" ht="15.75" customHeight="1"/>
    <row r="972" s="279" customFormat="1" ht="15.75" customHeight="1"/>
    <row r="973" s="279" customFormat="1" ht="15.75" customHeight="1"/>
    <row r="974" s="279" customFormat="1" ht="15.75" customHeight="1"/>
    <row r="975" s="279" customFormat="1" ht="15.75" customHeight="1"/>
    <row r="976" s="279" customFormat="1" ht="15.75" customHeight="1"/>
    <row r="977" s="279" customFormat="1" ht="15.75" customHeight="1"/>
    <row r="978" s="279" customFormat="1" ht="15.75" customHeight="1"/>
    <row r="979" s="279" customFormat="1" ht="15.75" customHeight="1"/>
    <row r="980" s="279" customFormat="1" ht="15.75" customHeight="1"/>
    <row r="981" s="279" customFormat="1" ht="15.75" customHeight="1"/>
    <row r="982" s="279" customFormat="1" ht="15.75" customHeight="1"/>
    <row r="983" s="279" customFormat="1" ht="15.75" customHeight="1"/>
    <row r="984" s="279" customFormat="1" ht="15.75" customHeight="1"/>
    <row r="985" s="279" customFormat="1" ht="15.75" customHeight="1"/>
    <row r="986" s="279" customFormat="1" ht="15.75" customHeight="1"/>
    <row r="987" s="279" customFormat="1" ht="15.75" customHeight="1"/>
    <row r="988" s="279" customFormat="1" ht="15.75" customHeight="1"/>
    <row r="989" s="279" customFormat="1" ht="15.75" customHeight="1"/>
    <row r="990" s="279" customFormat="1" ht="15.75" customHeight="1"/>
    <row r="991" s="279" customFormat="1" ht="15.75" customHeight="1"/>
    <row r="992" s="279" customFormat="1" ht="15.75" customHeight="1"/>
    <row r="993" s="279" customFormat="1" ht="15.75" customHeight="1"/>
    <row r="994" s="279" customFormat="1" ht="15.75" customHeight="1"/>
    <row r="995" s="279" customFormat="1" ht="15.75" customHeight="1"/>
    <row r="996" s="279" customFormat="1" ht="15.75" customHeight="1"/>
    <row r="997" s="279" customFormat="1" ht="15.75" customHeight="1"/>
    <row r="998" s="279" customFormat="1" ht="15.75" customHeight="1"/>
    <row r="999" s="279" customFormat="1" ht="15.75" customHeight="1"/>
    <row r="1000" s="279" customFormat="1" ht="15.75" customHeight="1"/>
  </sheetData>
  <mergeCells count="17">
    <mergeCell ref="F22:G22"/>
    <mergeCell ref="F29:G29"/>
    <mergeCell ref="B48:E48"/>
    <mergeCell ref="H48:I48"/>
    <mergeCell ref="B49:E49"/>
    <mergeCell ref="H49:I49"/>
    <mergeCell ref="F28:G28"/>
    <mergeCell ref="F23:G23"/>
    <mergeCell ref="F24:G24"/>
    <mergeCell ref="F25:G25"/>
    <mergeCell ref="F26:G26"/>
    <mergeCell ref="F27:G27"/>
    <mergeCell ref="E5:H6"/>
    <mergeCell ref="A11:I11"/>
    <mergeCell ref="F19:G19"/>
    <mergeCell ref="F20:G20"/>
    <mergeCell ref="F21:G21"/>
  </mergeCells>
  <phoneticPr fontId="78" type="noConversion"/>
  <pageMargins left="0.7" right="0.7" top="0.75" bottom="0.75" header="0" footer="0"/>
  <pageSetup scale="6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9">
    <tabColor rgb="FF00CCFF"/>
    <pageSetUpPr fitToPage="1"/>
  </sheetPr>
  <dimension ref="A1:Z1000"/>
  <sheetViews>
    <sheetView showGridLines="0" topLeftCell="A9" zoomScale="71" workbookViewId="0">
      <selection activeCell="J27" sqref="J27"/>
    </sheetView>
  </sheetViews>
  <sheetFormatPr defaultColWidth="12.7109375" defaultRowHeight="15" customHeight="1"/>
  <cols>
    <col min="1" max="1" width="7" customWidth="1"/>
    <col min="2" max="2" width="24.28515625" customWidth="1"/>
    <col min="3" max="3" width="29.7109375" customWidth="1"/>
    <col min="4" max="5" width="9" customWidth="1"/>
    <col min="6" max="6" width="13.85546875" customWidth="1"/>
    <col min="7" max="7" width="5.85546875" customWidth="1"/>
    <col min="8" max="8" width="26.85546875" customWidth="1"/>
    <col min="9" max="9" width="25.7109375" customWidth="1"/>
    <col min="10" max="11" width="11.7109375" customWidth="1"/>
    <col min="12" max="13" width="9" customWidth="1"/>
    <col min="14" max="15" width="11.7109375" customWidth="1"/>
    <col min="16" max="19" width="9" customWidth="1"/>
    <col min="20" max="20" width="18.7109375" customWidth="1"/>
    <col min="21" max="21" width="9.140625" customWidth="1"/>
  </cols>
  <sheetData>
    <row r="1" spans="1:26" ht="30" customHeight="1">
      <c r="A1" s="726" t="s">
        <v>375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  <c r="Q1" s="727"/>
      <c r="R1" s="727"/>
      <c r="S1" s="727"/>
      <c r="T1" s="727"/>
      <c r="U1" s="728"/>
    </row>
    <row r="2" spans="1:26" ht="12.75" customHeight="1">
      <c r="A2" s="189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90"/>
    </row>
    <row r="3" spans="1:26" ht="12.75" customHeight="1">
      <c r="A3" s="189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90"/>
    </row>
    <row r="4" spans="1:26" ht="12.75" customHeight="1">
      <c r="A4" s="191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3"/>
    </row>
    <row r="5" spans="1:26" ht="12.75" customHeight="1">
      <c r="A5" s="107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52"/>
    </row>
    <row r="6" spans="1:26" ht="15.75" customHeight="1">
      <c r="A6" s="729" t="s">
        <v>376</v>
      </c>
      <c r="B6" s="444"/>
      <c r="C6" s="194"/>
      <c r="D6" s="194"/>
      <c r="E6" s="7" t="s">
        <v>377</v>
      </c>
      <c r="F6" s="194"/>
      <c r="G6" s="194"/>
      <c r="H6" s="194"/>
      <c r="I6" s="135" t="s">
        <v>378</v>
      </c>
      <c r="J6" s="135"/>
      <c r="K6" s="135"/>
      <c r="L6" s="135"/>
      <c r="M6" s="135"/>
      <c r="N6" s="23"/>
      <c r="O6" s="23"/>
      <c r="P6" s="23"/>
      <c r="Q6" s="23"/>
      <c r="R6" s="23"/>
      <c r="S6" s="23"/>
      <c r="T6" s="23"/>
      <c r="U6" s="52"/>
    </row>
    <row r="7" spans="1:26">
      <c r="A7" s="195"/>
      <c r="B7" s="135"/>
      <c r="C7" s="135"/>
      <c r="D7" s="135"/>
      <c r="E7" s="7"/>
      <c r="F7" s="135"/>
      <c r="G7" s="135"/>
      <c r="H7" s="135"/>
      <c r="I7" s="135"/>
      <c r="J7" s="135"/>
      <c r="K7" s="135"/>
      <c r="L7" s="135"/>
      <c r="M7" s="135"/>
      <c r="N7" s="23"/>
      <c r="O7" s="23"/>
      <c r="P7" s="23"/>
      <c r="Q7" s="23"/>
      <c r="R7" s="23"/>
      <c r="S7" s="23"/>
      <c r="T7" s="23"/>
      <c r="U7" s="52"/>
    </row>
    <row r="8" spans="1:26">
      <c r="A8" s="195"/>
      <c r="B8" s="135"/>
      <c r="C8" s="135"/>
      <c r="D8" s="135"/>
      <c r="E8" s="7"/>
      <c r="F8" s="135"/>
      <c r="G8" s="135"/>
      <c r="H8" s="135"/>
      <c r="I8" s="135"/>
      <c r="J8" s="135"/>
      <c r="K8" s="135"/>
      <c r="L8" s="135"/>
      <c r="M8" s="135"/>
      <c r="N8" s="23"/>
      <c r="O8" s="23"/>
      <c r="P8" s="23"/>
      <c r="Q8" s="23"/>
      <c r="R8" s="23"/>
      <c r="S8" s="23"/>
      <c r="T8" s="23"/>
      <c r="U8" s="52"/>
    </row>
    <row r="9" spans="1:26" ht="12.75" customHeight="1">
      <c r="A9" s="107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52"/>
    </row>
    <row r="10" spans="1:26" ht="12.75" customHeight="1">
      <c r="A10" s="107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52"/>
    </row>
    <row r="11" spans="1:26" ht="22.5" customHeight="1">
      <c r="A11" s="196" t="s">
        <v>329</v>
      </c>
      <c r="B11" s="197"/>
      <c r="C11" s="12" t="str">
        <f>": " &amp; 'support table'!$B$10</f>
        <v>: [REP_VENDOR]</v>
      </c>
      <c r="D11" s="197"/>
      <c r="E11" s="197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198"/>
      <c r="V11" s="41"/>
      <c r="W11" s="41"/>
      <c r="X11" s="41"/>
      <c r="Y11" s="41"/>
      <c r="Z11" s="41"/>
    </row>
    <row r="12" spans="1:26" ht="22.5" customHeight="1">
      <c r="A12" s="196" t="s">
        <v>330</v>
      </c>
      <c r="B12" s="197"/>
      <c r="C12" s="12" t="str">
        <f>": " &amp; 'support table'!$B$9</f>
        <v>: [NAMA_PT_VENDOR]</v>
      </c>
      <c r="D12" s="197"/>
      <c r="E12" s="197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198"/>
      <c r="V12" s="41"/>
      <c r="W12" s="41"/>
      <c r="X12" s="41"/>
      <c r="Y12" s="41"/>
      <c r="Z12" s="41"/>
    </row>
    <row r="13" spans="1:26" ht="12.75" customHeight="1">
      <c r="A13" s="107"/>
      <c r="B13" s="23"/>
      <c r="C13" s="20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52"/>
    </row>
    <row r="14" spans="1:26" ht="12.75" customHeight="1">
      <c r="A14" s="107"/>
      <c r="B14" s="23"/>
      <c r="C14" s="20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52"/>
    </row>
    <row r="15" spans="1:26" ht="12.75" customHeight="1">
      <c r="A15" s="107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52"/>
    </row>
    <row r="16" spans="1:26" ht="22.5" customHeight="1">
      <c r="A16" s="196" t="s">
        <v>329</v>
      </c>
      <c r="B16" s="197"/>
      <c r="C16" s="12" t="str">
        <f>": " &amp; 'support table'!$B$13</f>
        <v>: [REP_CUSTOMER]</v>
      </c>
      <c r="D16" s="197"/>
      <c r="E16" s="197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198"/>
      <c r="V16" s="41"/>
      <c r="W16" s="41"/>
      <c r="X16" s="41"/>
      <c r="Y16" s="41"/>
      <c r="Z16" s="41"/>
    </row>
    <row r="17" spans="1:26" ht="22.5" customHeight="1">
      <c r="A17" s="196" t="s">
        <v>330</v>
      </c>
      <c r="B17" s="197"/>
      <c r="C17" s="12" t="str">
        <f>": " &amp; 'support table'!$B$12</f>
        <v>: [NAMA_PT_CUSTOMER]</v>
      </c>
      <c r="D17" s="197"/>
      <c r="E17" s="197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198"/>
      <c r="V17" s="41"/>
      <c r="W17" s="41"/>
      <c r="X17" s="41"/>
      <c r="Y17" s="41"/>
      <c r="Z17" s="41"/>
    </row>
    <row r="18" spans="1:26" ht="15.75" customHeight="1">
      <c r="A18" s="195"/>
      <c r="B18" s="135"/>
      <c r="C18" s="136"/>
      <c r="D18" s="135"/>
      <c r="E18" s="135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52"/>
    </row>
    <row r="19" spans="1:26" ht="12.75" customHeight="1">
      <c r="A19" s="107"/>
      <c r="B19" s="23"/>
      <c r="C19" s="20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52"/>
    </row>
    <row r="20" spans="1:26" ht="12.75" customHeight="1">
      <c r="A20" s="107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52"/>
    </row>
    <row r="21" spans="1:26" ht="21" customHeight="1" thickBot="1">
      <c r="A21" s="196" t="s">
        <v>379</v>
      </c>
      <c r="B21" s="197"/>
      <c r="C21" s="197"/>
      <c r="D21" s="735" t="str">
        <f>'support table'!$B$9</f>
        <v>[NAMA_PT_VENDOR]</v>
      </c>
      <c r="E21" s="735"/>
      <c r="F21" s="735"/>
      <c r="G21" s="735"/>
      <c r="H21" s="7" t="s">
        <v>380</v>
      </c>
      <c r="I21" s="730" t="str">
        <f>'support table'!$B$12</f>
        <v>[NAMA_PT_CUSTOMER]</v>
      </c>
      <c r="J21" s="502"/>
      <c r="K21" s="197" t="s">
        <v>381</v>
      </c>
      <c r="L21" s="197"/>
      <c r="M21" s="197"/>
      <c r="N21" s="197"/>
      <c r="O21" s="197"/>
      <c r="P21" s="40"/>
      <c r="Q21" s="40"/>
      <c r="R21" s="40"/>
      <c r="S21" s="40"/>
      <c r="T21" s="40"/>
      <c r="U21" s="198"/>
      <c r="V21" s="41"/>
      <c r="W21" s="41"/>
      <c r="X21" s="41"/>
      <c r="Y21" s="41"/>
      <c r="Z21" s="41"/>
    </row>
    <row r="22" spans="1:26" ht="15.75" customHeight="1">
      <c r="A22" s="195"/>
      <c r="B22" s="135"/>
      <c r="C22" s="135"/>
      <c r="D22" s="135"/>
      <c r="E22" s="135"/>
      <c r="F22" s="135"/>
      <c r="G22" s="135"/>
      <c r="H22" s="7"/>
      <c r="I22" s="135"/>
      <c r="J22" s="135"/>
      <c r="K22" s="135"/>
      <c r="L22" s="135"/>
      <c r="M22" s="135"/>
      <c r="N22" s="135"/>
      <c r="O22" s="135"/>
      <c r="P22" s="23"/>
      <c r="Q22" s="23"/>
      <c r="R22" s="23"/>
      <c r="S22" s="23"/>
      <c r="T22" s="23"/>
      <c r="U22" s="52"/>
    </row>
    <row r="23" spans="1:26" ht="12.75" customHeight="1">
      <c r="A23" s="107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52"/>
    </row>
    <row r="24" spans="1:26" ht="12.75" customHeight="1">
      <c r="A24" s="107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52"/>
    </row>
    <row r="25" spans="1:26" ht="19.5" customHeight="1">
      <c r="A25" s="731" t="s">
        <v>336</v>
      </c>
      <c r="B25" s="732" t="s">
        <v>1</v>
      </c>
      <c r="C25" s="732" t="s">
        <v>382</v>
      </c>
      <c r="D25" s="720" t="s">
        <v>383</v>
      </c>
      <c r="E25" s="460"/>
      <c r="F25" s="460"/>
      <c r="G25" s="460"/>
      <c r="H25" s="460"/>
      <c r="I25" s="462"/>
      <c r="J25" s="199" t="s">
        <v>384</v>
      </c>
      <c r="K25" s="199" t="s">
        <v>385</v>
      </c>
      <c r="L25" s="733" t="s">
        <v>386</v>
      </c>
      <c r="M25" s="547"/>
      <c r="N25" s="199" t="s">
        <v>335</v>
      </c>
      <c r="O25" s="199" t="s">
        <v>385</v>
      </c>
      <c r="P25" s="733" t="s">
        <v>386</v>
      </c>
      <c r="Q25" s="547"/>
      <c r="R25" s="733" t="s">
        <v>387</v>
      </c>
      <c r="S25" s="539"/>
      <c r="T25" s="539"/>
      <c r="U25" s="557"/>
    </row>
    <row r="26" spans="1:26" ht="19.5" customHeight="1">
      <c r="A26" s="470"/>
      <c r="B26" s="473"/>
      <c r="C26" s="473"/>
      <c r="D26" s="720" t="s">
        <v>388</v>
      </c>
      <c r="E26" s="460"/>
      <c r="F26" s="460"/>
      <c r="G26" s="460"/>
      <c r="H26" s="462"/>
      <c r="I26" s="199" t="s">
        <v>389</v>
      </c>
      <c r="J26" s="199" t="s">
        <v>390</v>
      </c>
      <c r="K26" s="199" t="s">
        <v>390</v>
      </c>
      <c r="L26" s="734"/>
      <c r="M26" s="506"/>
      <c r="N26" s="199" t="s">
        <v>390</v>
      </c>
      <c r="O26" s="199" t="s">
        <v>390</v>
      </c>
      <c r="P26" s="734"/>
      <c r="Q26" s="506"/>
      <c r="R26" s="734"/>
      <c r="S26" s="458"/>
      <c r="T26" s="458"/>
      <c r="U26" s="495"/>
    </row>
    <row r="27" spans="1:26" ht="30" customHeight="1">
      <c r="A27" s="241">
        <v>1</v>
      </c>
      <c r="B27" s="242" t="str">
        <f>'support table'!$B$2</f>
        <v>[REGION]</v>
      </c>
      <c r="C27" s="242" t="str">
        <f>'support table'!$B$6</f>
        <v>[NAMA_OLT]</v>
      </c>
      <c r="D27" s="721" t="str">
        <f>'support table'!$B$3</f>
        <v>[NAMA_LOKASI]</v>
      </c>
      <c r="E27" s="722"/>
      <c r="F27" s="722"/>
      <c r="G27" s="722"/>
      <c r="H27" s="723"/>
      <c r="I27" s="257" t="str">
        <f>'support table'!$B$4</f>
        <v>[ID_LOKASI]</v>
      </c>
      <c r="J27" s="257"/>
      <c r="K27" s="242">
        <f>J27*2</f>
        <v>0</v>
      </c>
      <c r="L27" s="724"/>
      <c r="M27" s="723"/>
      <c r="N27" s="242"/>
      <c r="O27" s="242">
        <f>N27</f>
        <v>0</v>
      </c>
      <c r="P27" s="724"/>
      <c r="Q27" s="723"/>
      <c r="R27" s="724"/>
      <c r="S27" s="722"/>
      <c r="T27" s="722"/>
      <c r="U27" s="725"/>
    </row>
    <row r="28" spans="1:26" ht="30" customHeight="1">
      <c r="A28" s="200"/>
      <c r="B28" s="92"/>
      <c r="C28" s="92"/>
      <c r="D28" s="589"/>
      <c r="E28" s="460"/>
      <c r="F28" s="460"/>
      <c r="G28" s="460"/>
      <c r="H28" s="462"/>
      <c r="I28" s="92"/>
      <c r="J28" s="92"/>
      <c r="K28" s="92"/>
      <c r="L28" s="589"/>
      <c r="M28" s="462"/>
      <c r="N28" s="92"/>
      <c r="O28" s="92"/>
      <c r="P28" s="589"/>
      <c r="Q28" s="462"/>
      <c r="R28" s="589"/>
      <c r="S28" s="460"/>
      <c r="T28" s="460"/>
      <c r="U28" s="717"/>
    </row>
    <row r="29" spans="1:26" ht="30" customHeight="1">
      <c r="A29" s="200"/>
      <c r="B29" s="92"/>
      <c r="C29" s="92"/>
      <c r="D29" s="589"/>
      <c r="E29" s="460"/>
      <c r="F29" s="460"/>
      <c r="G29" s="460"/>
      <c r="H29" s="462"/>
      <c r="I29" s="92"/>
      <c r="J29" s="92"/>
      <c r="K29" s="92"/>
      <c r="L29" s="589"/>
      <c r="M29" s="462"/>
      <c r="N29" s="92"/>
      <c r="O29" s="92"/>
      <c r="P29" s="589"/>
      <c r="Q29" s="462"/>
      <c r="R29" s="589"/>
      <c r="S29" s="460"/>
      <c r="T29" s="460"/>
      <c r="U29" s="717"/>
    </row>
    <row r="30" spans="1:26" ht="30" customHeight="1">
      <c r="A30" s="200"/>
      <c r="B30" s="92"/>
      <c r="C30" s="92"/>
      <c r="D30" s="589"/>
      <c r="E30" s="460"/>
      <c r="F30" s="460"/>
      <c r="G30" s="460"/>
      <c r="H30" s="462"/>
      <c r="I30" s="92"/>
      <c r="J30" s="92"/>
      <c r="K30" s="92"/>
      <c r="L30" s="589"/>
      <c r="M30" s="462"/>
      <c r="N30" s="92"/>
      <c r="O30" s="92"/>
      <c r="P30" s="589"/>
      <c r="Q30" s="462"/>
      <c r="R30" s="589"/>
      <c r="S30" s="460"/>
      <c r="T30" s="460"/>
      <c r="U30" s="717"/>
    </row>
    <row r="31" spans="1:26" ht="30" customHeight="1">
      <c r="A31" s="200"/>
      <c r="B31" s="92"/>
      <c r="C31" s="92"/>
      <c r="D31" s="589"/>
      <c r="E31" s="460"/>
      <c r="F31" s="460"/>
      <c r="G31" s="460"/>
      <c r="H31" s="462"/>
      <c r="I31" s="92"/>
      <c r="J31" s="92"/>
      <c r="K31" s="92"/>
      <c r="L31" s="589"/>
      <c r="M31" s="462"/>
      <c r="N31" s="92"/>
      <c r="O31" s="92"/>
      <c r="P31" s="589"/>
      <c r="Q31" s="462"/>
      <c r="R31" s="589"/>
      <c r="S31" s="460"/>
      <c r="T31" s="460"/>
      <c r="U31" s="717"/>
    </row>
    <row r="32" spans="1:26" ht="30" customHeight="1">
      <c r="A32" s="200"/>
      <c r="B32" s="92"/>
      <c r="C32" s="92"/>
      <c r="D32" s="589"/>
      <c r="E32" s="460"/>
      <c r="F32" s="460"/>
      <c r="G32" s="460"/>
      <c r="H32" s="462"/>
      <c r="I32" s="92"/>
      <c r="J32" s="92"/>
      <c r="K32" s="92"/>
      <c r="L32" s="589"/>
      <c r="M32" s="462"/>
      <c r="N32" s="92"/>
      <c r="O32" s="92"/>
      <c r="P32" s="589"/>
      <c r="Q32" s="462"/>
      <c r="R32" s="589"/>
      <c r="S32" s="460"/>
      <c r="T32" s="460"/>
      <c r="U32" s="717"/>
    </row>
    <row r="33" spans="1:21" ht="30" customHeight="1">
      <c r="A33" s="200"/>
      <c r="B33" s="92"/>
      <c r="C33" s="92"/>
      <c r="D33" s="589"/>
      <c r="E33" s="460"/>
      <c r="F33" s="460"/>
      <c r="G33" s="460"/>
      <c r="H33" s="462"/>
      <c r="I33" s="92"/>
      <c r="J33" s="92"/>
      <c r="K33" s="92"/>
      <c r="L33" s="589"/>
      <c r="M33" s="462"/>
      <c r="N33" s="92"/>
      <c r="O33" s="92"/>
      <c r="P33" s="589"/>
      <c r="Q33" s="462"/>
      <c r="R33" s="589"/>
      <c r="S33" s="460"/>
      <c r="T33" s="460"/>
      <c r="U33" s="717"/>
    </row>
    <row r="34" spans="1:21" ht="30" customHeight="1">
      <c r="A34" s="200"/>
      <c r="B34" s="92"/>
      <c r="C34" s="92"/>
      <c r="D34" s="589"/>
      <c r="E34" s="460"/>
      <c r="F34" s="460"/>
      <c r="G34" s="460"/>
      <c r="H34" s="462"/>
      <c r="I34" s="92"/>
      <c r="J34" s="92"/>
      <c r="K34" s="92"/>
      <c r="L34" s="589"/>
      <c r="M34" s="462"/>
      <c r="N34" s="92"/>
      <c r="O34" s="92"/>
      <c r="P34" s="589"/>
      <c r="Q34" s="462"/>
      <c r="R34" s="589"/>
      <c r="S34" s="460"/>
      <c r="T34" s="460"/>
      <c r="U34" s="717"/>
    </row>
    <row r="35" spans="1:21" ht="12.75" customHeight="1">
      <c r="A35" s="107"/>
      <c r="B35" s="23"/>
      <c r="C35" s="23"/>
      <c r="D35" s="1"/>
      <c r="E35" s="1"/>
      <c r="F35" s="1"/>
      <c r="G35" s="1"/>
      <c r="H35" s="1"/>
      <c r="I35" s="23"/>
      <c r="J35" s="23"/>
      <c r="K35" s="23"/>
      <c r="L35" s="23"/>
      <c r="M35" s="23"/>
      <c r="N35" s="23"/>
      <c r="O35" s="23"/>
      <c r="P35" s="23"/>
      <c r="Q35" s="23"/>
      <c r="R35" s="1"/>
      <c r="S35" s="1"/>
      <c r="T35" s="1"/>
      <c r="U35" s="201"/>
    </row>
    <row r="36" spans="1:21" ht="12.75" customHeight="1">
      <c r="A36" s="107"/>
      <c r="B36" s="23"/>
      <c r="C36" s="23"/>
      <c r="D36" s="1"/>
      <c r="E36" s="1"/>
      <c r="F36" s="1"/>
      <c r="G36" s="1"/>
      <c r="H36" s="1"/>
      <c r="I36" s="23"/>
      <c r="J36" s="23"/>
      <c r="K36" s="23"/>
      <c r="L36" s="23"/>
      <c r="M36" s="23"/>
      <c r="N36" s="23"/>
      <c r="O36" s="23"/>
      <c r="P36" s="23"/>
      <c r="Q36" s="23"/>
      <c r="R36" s="1"/>
      <c r="S36" s="1"/>
      <c r="T36" s="1"/>
      <c r="U36" s="201"/>
    </row>
    <row r="37" spans="1:21" ht="12.75" customHeight="1">
      <c r="A37" s="107"/>
      <c r="B37" s="23"/>
      <c r="C37" s="23"/>
      <c r="D37" s="1"/>
      <c r="E37" s="1"/>
      <c r="F37" s="1"/>
      <c r="G37" s="1"/>
      <c r="H37" s="1"/>
      <c r="I37" s="23"/>
      <c r="J37" s="23"/>
      <c r="K37" s="23"/>
      <c r="L37" s="23"/>
      <c r="M37" s="23"/>
      <c r="N37" s="23"/>
      <c r="O37" s="23"/>
      <c r="P37" s="23"/>
      <c r="Q37" s="23"/>
      <c r="R37" s="1"/>
      <c r="S37" s="1"/>
      <c r="T37" s="1"/>
      <c r="U37" s="201"/>
    </row>
    <row r="38" spans="1:21" ht="12.75" customHeight="1">
      <c r="A38" s="107"/>
      <c r="B38" s="23"/>
      <c r="C38" s="23"/>
      <c r="D38" s="1"/>
      <c r="E38" s="1"/>
      <c r="F38" s="1"/>
      <c r="G38" s="1"/>
      <c r="H38" s="1"/>
      <c r="I38" s="23"/>
      <c r="J38" s="23"/>
      <c r="K38" s="23"/>
      <c r="L38" s="23"/>
      <c r="M38" s="23"/>
      <c r="N38" s="23"/>
      <c r="O38" s="23"/>
      <c r="P38" s="23"/>
      <c r="Q38" s="23"/>
      <c r="R38" s="1"/>
      <c r="S38" s="1"/>
      <c r="T38" s="1"/>
      <c r="U38" s="201"/>
    </row>
    <row r="39" spans="1:21" ht="12.75" customHeight="1">
      <c r="A39" s="107"/>
      <c r="B39" s="23"/>
      <c r="C39" s="23"/>
      <c r="D39" s="1"/>
      <c r="E39" s="1"/>
      <c r="F39" s="1"/>
      <c r="G39" s="1"/>
      <c r="H39" s="1"/>
      <c r="I39" s="23"/>
      <c r="J39" s="23"/>
      <c r="K39" s="23"/>
      <c r="L39" s="23"/>
      <c r="M39" s="23"/>
      <c r="N39" s="23"/>
      <c r="O39" s="23"/>
      <c r="P39" s="23"/>
      <c r="Q39" s="23"/>
      <c r="R39" s="1"/>
      <c r="S39" s="1"/>
      <c r="T39" s="1"/>
      <c r="U39" s="201"/>
    </row>
    <row r="40" spans="1:21" ht="12.75" customHeight="1">
      <c r="A40" s="107"/>
      <c r="B40" s="23"/>
      <c r="C40" s="23"/>
      <c r="D40" s="1"/>
      <c r="E40" s="1"/>
      <c r="F40" s="1"/>
      <c r="G40" s="1"/>
      <c r="H40" s="1"/>
      <c r="I40" s="23"/>
      <c r="J40" s="23"/>
      <c r="K40" s="23"/>
      <c r="L40" s="23"/>
      <c r="M40" s="23"/>
      <c r="N40" s="23"/>
      <c r="O40" s="23"/>
      <c r="P40" s="23"/>
      <c r="Q40" s="23"/>
      <c r="R40" s="1"/>
      <c r="S40" s="1"/>
      <c r="T40" s="1"/>
      <c r="U40" s="201"/>
    </row>
    <row r="41" spans="1:21" ht="12.75" customHeight="1">
      <c r="A41" s="107"/>
      <c r="B41" s="23"/>
      <c r="C41" s="23"/>
      <c r="D41" s="1"/>
      <c r="E41" s="1"/>
      <c r="F41" s="1"/>
      <c r="G41" s="1"/>
      <c r="H41" s="1"/>
      <c r="I41" s="23"/>
      <c r="J41" s="23"/>
      <c r="K41" s="23"/>
      <c r="L41" s="23"/>
      <c r="M41" s="23"/>
      <c r="N41" s="23"/>
      <c r="O41" s="23"/>
      <c r="P41" s="23"/>
      <c r="Q41" s="23"/>
      <c r="R41" s="1"/>
      <c r="S41" s="1"/>
      <c r="T41" s="1"/>
      <c r="U41" s="201"/>
    </row>
    <row r="42" spans="1:21" ht="12.75" customHeight="1">
      <c r="A42" s="107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52"/>
    </row>
    <row r="43" spans="1:21" ht="15.75" customHeight="1">
      <c r="A43" s="107"/>
      <c r="B43" s="718" t="s">
        <v>391</v>
      </c>
      <c r="C43" s="444"/>
      <c r="D43" s="136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718" t="s">
        <v>392</v>
      </c>
      <c r="Q43" s="444"/>
      <c r="R43" s="444"/>
      <c r="S43" s="444"/>
      <c r="T43" s="444"/>
      <c r="U43" s="52"/>
    </row>
    <row r="44" spans="1:21" ht="15.75" customHeight="1">
      <c r="A44" s="107"/>
      <c r="B44" s="136"/>
      <c r="C44" s="136"/>
      <c r="D44" s="136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136"/>
      <c r="T44" s="136"/>
      <c r="U44" s="52"/>
    </row>
    <row r="45" spans="1:21" ht="15.75" customHeight="1">
      <c r="A45" s="107"/>
      <c r="B45" s="136"/>
      <c r="C45" s="136"/>
      <c r="D45" s="136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136"/>
      <c r="T45" s="136"/>
      <c r="U45" s="52"/>
    </row>
    <row r="46" spans="1:21" ht="15.75" customHeight="1">
      <c r="A46" s="107"/>
      <c r="B46" s="136"/>
      <c r="C46" s="136"/>
      <c r="D46" s="136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136"/>
      <c r="T46" s="136"/>
      <c r="U46" s="52"/>
    </row>
    <row r="47" spans="1:21" ht="15.75" customHeight="1">
      <c r="A47" s="107"/>
      <c r="B47" s="136"/>
      <c r="C47" s="136"/>
      <c r="D47" s="136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136"/>
      <c r="T47" s="136"/>
      <c r="U47" s="52"/>
    </row>
    <row r="48" spans="1:21" ht="15.75" customHeight="1">
      <c r="A48" s="107"/>
      <c r="B48" s="136"/>
      <c r="C48" s="136"/>
      <c r="D48" s="136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136"/>
      <c r="T48" s="136"/>
      <c r="U48" s="52"/>
    </row>
    <row r="49" spans="1:21" ht="15.75" customHeight="1">
      <c r="A49" s="107"/>
      <c r="B49" s="136"/>
      <c r="C49" s="136"/>
      <c r="D49" s="136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136"/>
      <c r="T49" s="136"/>
      <c r="U49" s="52"/>
    </row>
    <row r="50" spans="1:21" ht="15.75" customHeight="1">
      <c r="A50" s="107"/>
      <c r="B50" s="136"/>
      <c r="C50" s="136"/>
      <c r="D50" s="136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136"/>
      <c r="T50" s="136"/>
      <c r="U50" s="52"/>
    </row>
    <row r="51" spans="1:21" ht="15.75" customHeight="1">
      <c r="A51" s="107"/>
      <c r="B51" s="202"/>
      <c r="C51" s="202"/>
      <c r="D51" s="136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144"/>
      <c r="Q51" s="144"/>
      <c r="R51" s="202"/>
      <c r="S51" s="202"/>
      <c r="T51" s="203"/>
      <c r="U51" s="52"/>
    </row>
    <row r="52" spans="1:21" ht="15.75" customHeight="1">
      <c r="A52" s="107"/>
      <c r="B52" s="135" t="str">
        <f>"Date : " &amp; 'support table'!$B$10</f>
        <v>Date : [REP_VENDOR]</v>
      </c>
      <c r="C52" s="136"/>
      <c r="D52" s="136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135" t="str">
        <f>"Date : " &amp; 'support table'!$B$13</f>
        <v>Date : [REP_CUSTOMER]</v>
      </c>
      <c r="Q52" s="23"/>
      <c r="R52" s="23"/>
      <c r="S52" s="136"/>
      <c r="T52" s="136"/>
      <c r="U52" s="52"/>
    </row>
    <row r="53" spans="1:21" ht="15.75" customHeight="1">
      <c r="A53" s="107"/>
      <c r="B53" s="719"/>
      <c r="C53" s="44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U53" s="52"/>
    </row>
    <row r="54" spans="1:21" ht="15.75" customHeight="1">
      <c r="A54" s="204"/>
      <c r="B54" s="136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U54" s="52"/>
    </row>
    <row r="55" spans="1:21" ht="16.5" customHeight="1">
      <c r="A55" s="205"/>
      <c r="B55" s="206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112"/>
    </row>
    <row r="56" spans="1:21" ht="15.75" customHeight="1"/>
    <row r="57" spans="1:21" ht="12.75" customHeight="1"/>
    <row r="58" spans="1:21" ht="12.75" customHeight="1"/>
    <row r="59" spans="1:21" ht="12.75" customHeight="1"/>
    <row r="60" spans="1:21" ht="12.75" customHeight="1"/>
    <row r="61" spans="1:21" ht="12.75" customHeight="1"/>
    <row r="62" spans="1:21" ht="12.75" customHeight="1"/>
    <row r="63" spans="1:21" ht="12.75" customHeight="1"/>
    <row r="64" spans="1:21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R27:U27"/>
    <mergeCell ref="P28:Q28"/>
    <mergeCell ref="R28:U28"/>
    <mergeCell ref="A1:U1"/>
    <mergeCell ref="A6:B6"/>
    <mergeCell ref="I21:J21"/>
    <mergeCell ref="A25:A26"/>
    <mergeCell ref="B25:B26"/>
    <mergeCell ref="C25:C26"/>
    <mergeCell ref="R25:U26"/>
    <mergeCell ref="L25:M26"/>
    <mergeCell ref="P25:Q26"/>
    <mergeCell ref="D21:G21"/>
    <mergeCell ref="P31:Q31"/>
    <mergeCell ref="P32:Q32"/>
    <mergeCell ref="P33:Q33"/>
    <mergeCell ref="P34:Q34"/>
    <mergeCell ref="L27:M27"/>
    <mergeCell ref="P27:Q27"/>
    <mergeCell ref="B43:C43"/>
    <mergeCell ref="B53:C53"/>
    <mergeCell ref="D25:I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R32:U32"/>
    <mergeCell ref="R33:U33"/>
    <mergeCell ref="R34:U34"/>
    <mergeCell ref="P43:T43"/>
    <mergeCell ref="L28:M28"/>
    <mergeCell ref="L29:M29"/>
    <mergeCell ref="P29:Q29"/>
    <mergeCell ref="R29:U29"/>
    <mergeCell ref="L30:M30"/>
    <mergeCell ref="R30:U30"/>
    <mergeCell ref="R31:U31"/>
    <mergeCell ref="L31:M31"/>
    <mergeCell ref="L32:M32"/>
    <mergeCell ref="L33:M33"/>
    <mergeCell ref="L34:M34"/>
    <mergeCell ref="P30:Q30"/>
  </mergeCells>
  <pageMargins left="0.7" right="0.7" top="0.75" bottom="0.75" header="0" footer="0"/>
  <pageSetup scale="44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40">
    <tabColor rgb="FF00CCFF"/>
    <outlinePr summaryBelow="0" summaryRight="0"/>
    <pageSetUpPr fitToPage="1"/>
  </sheetPr>
  <dimension ref="A1:Z1000"/>
  <sheetViews>
    <sheetView workbookViewId="0">
      <selection activeCell="H17" sqref="H17"/>
    </sheetView>
  </sheetViews>
  <sheetFormatPr defaultColWidth="12.7109375" defaultRowHeight="15" customHeight="1"/>
  <sheetData>
    <row r="1" spans="1:26" ht="15" customHeight="1">
      <c r="A1" s="736" t="s">
        <v>410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</row>
    <row r="2" spans="1:26" ht="15" customHeight="1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</row>
    <row r="3" spans="1:26" ht="15" customHeight="1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</row>
    <row r="4" spans="1:26" ht="15" customHeight="1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</row>
    <row r="5" spans="1:26" ht="15" customHeight="1">
      <c r="A5" s="444"/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</row>
    <row r="6" spans="1:26" ht="15" customHeight="1">
      <c r="A6" s="502"/>
      <c r="B6" s="502"/>
      <c r="C6" s="502"/>
      <c r="D6" s="502"/>
      <c r="E6" s="502"/>
      <c r="F6" s="502"/>
      <c r="G6" s="502"/>
      <c r="H6" s="502"/>
      <c r="I6" s="502"/>
      <c r="J6" s="502"/>
      <c r="K6" s="502"/>
      <c r="L6" s="502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</row>
    <row r="7" spans="1:26" ht="15" customHeight="1">
      <c r="A7" s="218" t="s">
        <v>411</v>
      </c>
      <c r="B7" s="217"/>
      <c r="C7" s="217"/>
      <c r="D7" s="219" t="str">
        <f>": " &amp; 'support table'!$B$1</f>
        <v>: [NAMA_PROYEK]</v>
      </c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</row>
    <row r="8" spans="1:26" ht="15" customHeight="1">
      <c r="A8" s="218" t="s">
        <v>412</v>
      </c>
      <c r="B8" s="217"/>
      <c r="C8" s="220" t="s">
        <v>317</v>
      </c>
      <c r="D8" s="219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</row>
    <row r="9" spans="1:26" ht="15" customHeight="1">
      <c r="A9" s="218" t="s">
        <v>413</v>
      </c>
      <c r="B9" s="217"/>
      <c r="C9" s="220" t="s">
        <v>317</v>
      </c>
      <c r="D9" s="258" t="str">
        <f>'support table'!$B$3</f>
        <v>[NAMA_LOKASI]</v>
      </c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</row>
    <row r="10" spans="1:26" ht="15" customHeight="1">
      <c r="A10" s="221" t="s">
        <v>414</v>
      </c>
      <c r="B10" s="222"/>
      <c r="C10" s="223" t="s">
        <v>317</v>
      </c>
      <c r="D10" s="224"/>
      <c r="E10" s="222"/>
      <c r="F10" s="222"/>
      <c r="G10" s="222"/>
      <c r="H10" s="222"/>
      <c r="I10" s="222"/>
      <c r="J10" s="222"/>
      <c r="K10" s="222"/>
      <c r="L10" s="222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</row>
    <row r="11" spans="1:26" ht="15" customHeight="1">
      <c r="A11" s="217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</row>
    <row r="12" spans="1:26" ht="15" customHeight="1">
      <c r="A12" s="737" t="s">
        <v>415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</row>
    <row r="13" spans="1:26" ht="15" customHeight="1">
      <c r="A13" s="217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</row>
    <row r="14" spans="1:26" ht="15" customHeight="1">
      <c r="A14" s="225" t="s">
        <v>416</v>
      </c>
      <c r="B14" s="217"/>
      <c r="C14" s="217"/>
      <c r="D14" s="217"/>
      <c r="E14" s="217"/>
      <c r="F14" s="217"/>
      <c r="G14" s="217"/>
      <c r="H14" s="217" t="s">
        <v>417</v>
      </c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</row>
    <row r="15" spans="1:26" ht="15" customHeight="1">
      <c r="A15" s="225" t="s">
        <v>418</v>
      </c>
      <c r="B15" s="20" t="str">
        <f>": " &amp; 'support table'!$B$10</f>
        <v>: [REP_VENDOR]</v>
      </c>
      <c r="C15" s="217"/>
      <c r="D15" s="217"/>
      <c r="E15" s="217"/>
      <c r="F15" s="217"/>
      <c r="G15" s="217"/>
      <c r="H15" s="225" t="s">
        <v>418</v>
      </c>
      <c r="I15" s="20" t="str">
        <f>": " &amp; 'support table'!$B$13</f>
        <v>: [REP_CUSTOMER]</v>
      </c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</row>
    <row r="16" spans="1:26" ht="15" customHeight="1">
      <c r="A16" s="225" t="s">
        <v>419</v>
      </c>
      <c r="B16" s="20" t="str">
        <f>": " &amp; 'support table'!$B$11</f>
        <v>: [JABATAN_VENDOR]</v>
      </c>
      <c r="C16" s="217"/>
      <c r="D16" s="217"/>
      <c r="E16" s="217"/>
      <c r="F16" s="217"/>
      <c r="G16" s="217"/>
      <c r="H16" s="225" t="s">
        <v>419</v>
      </c>
      <c r="I16" s="20" t="str">
        <f>": " &amp; 'support table'!$B$14</f>
        <v>: [JABATAN_CUSTOMER]</v>
      </c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</row>
    <row r="17" spans="1:26" ht="15" customHeight="1">
      <c r="A17" s="217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</row>
    <row r="18" spans="1:26" ht="15" customHeight="1">
      <c r="A18" s="217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</row>
    <row r="19" spans="1:26" ht="15" customHeight="1">
      <c r="A19" s="226" t="s">
        <v>420</v>
      </c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</row>
    <row r="20" spans="1:26" ht="15" customHeight="1">
      <c r="A20" s="227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9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</row>
    <row r="21" spans="1:26" ht="15" customHeight="1">
      <c r="A21" s="230"/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31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</row>
    <row r="22" spans="1:26" ht="15" customHeight="1">
      <c r="A22" s="230"/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31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</row>
    <row r="23" spans="1:26" ht="15" customHeight="1">
      <c r="A23" s="230"/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31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</row>
    <row r="24" spans="1:26" ht="15" customHeight="1">
      <c r="A24" s="230"/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31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</row>
    <row r="25" spans="1:26" ht="15" customHeight="1">
      <c r="A25" s="230"/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31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</row>
    <row r="26" spans="1:26" ht="15" customHeight="1">
      <c r="A26" s="230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31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</row>
    <row r="27" spans="1:26" ht="15" customHeight="1">
      <c r="A27" s="230"/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31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</row>
    <row r="28" spans="1:26" ht="12.75">
      <c r="A28" s="230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31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</row>
    <row r="29" spans="1:26" ht="12.75">
      <c r="A29" s="230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31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</row>
    <row r="30" spans="1:26" ht="12.75">
      <c r="A30" s="230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31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</row>
    <row r="31" spans="1:26" ht="12.75">
      <c r="A31" s="230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31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</row>
    <row r="32" spans="1:26" ht="12.75">
      <c r="A32" s="230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31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</row>
    <row r="33" spans="1:26" ht="12.75">
      <c r="A33" s="230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31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</row>
    <row r="34" spans="1:26" ht="12.75">
      <c r="A34" s="230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31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</row>
    <row r="35" spans="1:26" ht="12.75">
      <c r="A35" s="230"/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31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</row>
    <row r="36" spans="1:26" ht="12.75">
      <c r="A36" s="230"/>
      <c r="B36" s="217"/>
      <c r="C36" s="217"/>
      <c r="D36" s="217"/>
      <c r="E36" s="217"/>
      <c r="F36" s="217"/>
      <c r="G36" s="217"/>
      <c r="H36" s="217"/>
      <c r="I36" s="217"/>
      <c r="J36" s="217"/>
      <c r="K36" s="217"/>
      <c r="L36" s="231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</row>
    <row r="37" spans="1:26" ht="12.75">
      <c r="A37" s="230"/>
      <c r="B37" s="217"/>
      <c r="C37" s="217"/>
      <c r="D37" s="217"/>
      <c r="E37" s="217"/>
      <c r="F37" s="217"/>
      <c r="G37" s="217"/>
      <c r="H37" s="217"/>
      <c r="I37" s="217"/>
      <c r="J37" s="217"/>
      <c r="K37" s="217"/>
      <c r="L37" s="231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</row>
    <row r="38" spans="1:26" ht="12.75">
      <c r="A38" s="230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31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</row>
    <row r="39" spans="1:26" ht="12.75">
      <c r="A39" s="230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31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</row>
    <row r="40" spans="1:26" ht="12.75">
      <c r="A40" s="230"/>
      <c r="B40" s="217"/>
      <c r="C40" s="217"/>
      <c r="D40" s="217"/>
      <c r="E40" s="217"/>
      <c r="F40" s="217"/>
      <c r="G40" s="217"/>
      <c r="H40" s="217"/>
      <c r="I40" s="217"/>
      <c r="J40" s="217"/>
      <c r="K40" s="217"/>
      <c r="L40" s="231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</row>
    <row r="41" spans="1:26" ht="12.75">
      <c r="A41" s="230"/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31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</row>
    <row r="42" spans="1:26" ht="12.75">
      <c r="A42" s="232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33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</row>
    <row r="43" spans="1:26" ht="12.75">
      <c r="A43" s="217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</row>
    <row r="44" spans="1:26" ht="12.75">
      <c r="A44" s="217" t="s">
        <v>421</v>
      </c>
      <c r="B44" s="217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</row>
    <row r="45" spans="1:26">
      <c r="A45" s="234" t="s">
        <v>422</v>
      </c>
      <c r="B45" s="225" t="s">
        <v>329</v>
      </c>
      <c r="C45" s="219" t="s">
        <v>317</v>
      </c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</row>
    <row r="46" spans="1:26">
      <c r="A46" s="234" t="s">
        <v>422</v>
      </c>
      <c r="B46" s="225" t="s">
        <v>419</v>
      </c>
      <c r="C46" s="218" t="s">
        <v>317</v>
      </c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</row>
    <row r="47" spans="1:26">
      <c r="A47" s="234" t="s">
        <v>422</v>
      </c>
      <c r="B47" s="225" t="s">
        <v>423</v>
      </c>
      <c r="C47" s="218" t="s">
        <v>317</v>
      </c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</row>
    <row r="48" spans="1:26">
      <c r="A48" s="234" t="s">
        <v>422</v>
      </c>
      <c r="B48" s="225" t="s">
        <v>424</v>
      </c>
      <c r="C48" s="219" t="s">
        <v>317</v>
      </c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</row>
    <row r="49" spans="1:26" ht="12.75">
      <c r="A49" s="217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</row>
    <row r="50" spans="1:26" ht="12.75">
      <c r="A50" s="217"/>
      <c r="B50" s="217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</row>
    <row r="51" spans="1:26" ht="12.75">
      <c r="A51" s="222"/>
      <c r="B51" s="222"/>
      <c r="C51" s="217" t="s">
        <v>425</v>
      </c>
      <c r="D51" s="217"/>
      <c r="E51" s="222"/>
      <c r="F51" s="222"/>
      <c r="G51" s="222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</row>
    <row r="52" spans="1:26" ht="12.75">
      <c r="A52" s="217"/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</row>
    <row r="53" spans="1:26" ht="12.75">
      <c r="A53" s="217"/>
      <c r="B53" s="217"/>
      <c r="C53" s="217"/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</row>
    <row r="54" spans="1:26" ht="12.75">
      <c r="A54" s="217"/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</row>
    <row r="55" spans="1:26">
      <c r="A55" s="739" t="s">
        <v>426</v>
      </c>
      <c r="B55" s="444"/>
      <c r="C55" s="739" t="s">
        <v>427</v>
      </c>
      <c r="D55" s="444"/>
      <c r="E55" s="217"/>
      <c r="F55" s="217"/>
      <c r="G55" s="739" t="s">
        <v>428</v>
      </c>
      <c r="H55" s="444"/>
      <c r="I55" s="444"/>
      <c r="J55" s="740" t="s">
        <v>428</v>
      </c>
      <c r="K55" s="444"/>
      <c r="L55" s="444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</row>
    <row r="56" spans="1:26">
      <c r="A56" s="742" t="s">
        <v>429</v>
      </c>
      <c r="B56" s="444"/>
      <c r="C56" s="741" t="s">
        <v>430</v>
      </c>
      <c r="D56" s="444"/>
      <c r="E56" s="217"/>
      <c r="F56" s="217"/>
      <c r="G56" s="741" t="s">
        <v>342</v>
      </c>
      <c r="H56" s="444"/>
      <c r="I56" s="444"/>
      <c r="J56" s="741" t="s">
        <v>341</v>
      </c>
      <c r="K56" s="444"/>
      <c r="L56" s="444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</row>
    <row r="57" spans="1:26" ht="12.75">
      <c r="A57" s="217"/>
      <c r="B57" s="217"/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</row>
    <row r="58" spans="1:26" ht="12.75">
      <c r="A58" s="217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</row>
    <row r="59" spans="1:26" ht="12.75">
      <c r="A59" s="217"/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</row>
    <row r="60" spans="1:26" ht="12.75">
      <c r="A60" s="217"/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</row>
    <row r="61" spans="1:26" ht="12.75">
      <c r="A61" s="217"/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</row>
    <row r="62" spans="1:26" ht="12.75">
      <c r="A62" s="217"/>
      <c r="B62" s="217"/>
      <c r="C62" s="217"/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</row>
    <row r="63" spans="1:26" ht="12.75">
      <c r="A63" s="739" t="s">
        <v>431</v>
      </c>
      <c r="B63" s="444"/>
      <c r="C63" s="739" t="s">
        <v>431</v>
      </c>
      <c r="D63" s="444"/>
      <c r="E63" s="217"/>
      <c r="F63" s="217"/>
      <c r="G63" s="739" t="str">
        <f>"(" &amp; 'support table'!$B$10</f>
        <v>([REP_VENDOR]</v>
      </c>
      <c r="H63" s="444"/>
      <c r="I63" s="444"/>
      <c r="J63" s="739" t="str">
        <f>"(" &amp; 'support table'!$B$13</f>
        <v>([REP_CUSTOMER]</v>
      </c>
      <c r="K63" s="444"/>
      <c r="L63" s="444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</row>
    <row r="64" spans="1:26" ht="12.75">
      <c r="A64" s="217"/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</row>
    <row r="65" spans="1:26" ht="12.75">
      <c r="A65" s="217"/>
      <c r="B65" s="217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</row>
    <row r="66" spans="1:26" ht="12.75">
      <c r="A66" s="217"/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</row>
    <row r="67" spans="1:26" ht="12.75">
      <c r="A67" s="217"/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</row>
    <row r="68" spans="1:26" ht="12.75">
      <c r="A68" s="217"/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</row>
    <row r="69" spans="1:26" ht="12.75">
      <c r="A69" s="217"/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</row>
    <row r="70" spans="1:26" ht="12.75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</row>
    <row r="71" spans="1:26" ht="12.75">
      <c r="A71" s="217"/>
      <c r="B71" s="217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</row>
    <row r="72" spans="1:26" ht="12.75">
      <c r="A72" s="217"/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</row>
    <row r="73" spans="1:26" ht="12.75">
      <c r="A73" s="217"/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</row>
    <row r="74" spans="1:26" ht="12.75">
      <c r="A74" s="217"/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</row>
    <row r="75" spans="1:26" ht="12.75">
      <c r="A75" s="217"/>
      <c r="B75" s="217"/>
      <c r="C75" s="217"/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</row>
    <row r="76" spans="1:26" ht="12.75">
      <c r="A76" s="217"/>
      <c r="B76" s="217"/>
      <c r="C76" s="217"/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</row>
    <row r="77" spans="1:26" ht="12.75">
      <c r="A77" s="217"/>
      <c r="B77" s="217"/>
      <c r="C77" s="217"/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</row>
    <row r="78" spans="1:26" ht="12.75">
      <c r="A78" s="217"/>
      <c r="B78" s="217"/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</row>
    <row r="79" spans="1:26" ht="12.75">
      <c r="A79" s="217"/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</row>
    <row r="80" spans="1:26" ht="12.75">
      <c r="A80" s="217"/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</row>
    <row r="81" spans="1:26" ht="12.75">
      <c r="A81" s="217"/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</row>
    <row r="82" spans="1:26" ht="12.75">
      <c r="A82" s="217"/>
      <c r="B82" s="217"/>
      <c r="C82" s="217"/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</row>
    <row r="83" spans="1:26" ht="12.75">
      <c r="A83" s="217"/>
      <c r="B83" s="217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</row>
    <row r="84" spans="1:26" ht="12.75">
      <c r="A84" s="217"/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</row>
    <row r="85" spans="1:26" ht="12.75">
      <c r="A85" s="217"/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</row>
    <row r="86" spans="1:26" ht="12.75">
      <c r="A86" s="217"/>
      <c r="B86" s="217"/>
      <c r="C86" s="217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</row>
    <row r="87" spans="1:26" ht="12.75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</row>
    <row r="88" spans="1:26" ht="12.75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</row>
    <row r="89" spans="1:26" ht="12.75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</row>
    <row r="90" spans="1:26" ht="12.75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</row>
    <row r="91" spans="1:26" ht="12.75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</row>
    <row r="92" spans="1:26" ht="12.75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</row>
    <row r="93" spans="1:26" ht="12.75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</row>
    <row r="94" spans="1:26" ht="12.75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</row>
    <row r="95" spans="1:26" ht="12.75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</row>
    <row r="96" spans="1:26" ht="12.75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</row>
    <row r="97" spans="1:26" ht="12.75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</row>
    <row r="98" spans="1:26" ht="12.75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</row>
    <row r="99" spans="1:26" ht="12.75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</row>
    <row r="100" spans="1:26" ht="12.75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</row>
    <row r="101" spans="1:26" ht="12.75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</row>
    <row r="102" spans="1:26" ht="12.75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</row>
    <row r="103" spans="1:26" ht="12.75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</row>
    <row r="104" spans="1:26" ht="12.75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</row>
    <row r="105" spans="1:26" ht="12.75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</row>
    <row r="106" spans="1:26" ht="12.75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</row>
    <row r="107" spans="1:26" ht="12.75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</row>
    <row r="108" spans="1:26" ht="12.75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</row>
    <row r="109" spans="1:26" ht="12.75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</row>
    <row r="110" spans="1:26" ht="12.75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</row>
    <row r="111" spans="1:26" ht="12.75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</row>
    <row r="112" spans="1:26" ht="12.75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</row>
    <row r="113" spans="1:26" ht="12.75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</row>
    <row r="114" spans="1:26" ht="12.75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</row>
    <row r="115" spans="1:26" ht="12.75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</row>
    <row r="116" spans="1:26" ht="12.75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</row>
    <row r="117" spans="1:26" ht="12.75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</row>
    <row r="118" spans="1:26" ht="12.75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</row>
    <row r="119" spans="1:26" ht="12.75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</row>
    <row r="120" spans="1:26" ht="12.75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</row>
    <row r="121" spans="1:26" ht="12.75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</row>
    <row r="122" spans="1:26" ht="12.75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</row>
    <row r="123" spans="1:26" ht="12.75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</row>
    <row r="124" spans="1:26" ht="12.75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</row>
    <row r="125" spans="1:26" ht="12.75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</row>
    <row r="126" spans="1:26" ht="12.75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</row>
    <row r="127" spans="1:26" ht="12.75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</row>
    <row r="128" spans="1:26" ht="12.75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</row>
    <row r="129" spans="1:26" ht="12.75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</row>
    <row r="130" spans="1:26" ht="12.75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</row>
    <row r="131" spans="1:26" ht="12.75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</row>
    <row r="132" spans="1:26" ht="12.75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</row>
    <row r="133" spans="1:26" ht="12.75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</row>
    <row r="134" spans="1:26" ht="12.75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</row>
    <row r="135" spans="1:26" ht="12.75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</row>
    <row r="136" spans="1:26" ht="12.75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</row>
    <row r="137" spans="1:26" ht="12.75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</row>
    <row r="138" spans="1:26" ht="12.75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</row>
    <row r="139" spans="1:26" ht="12.75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</row>
    <row r="140" spans="1:26" ht="12.75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</row>
    <row r="141" spans="1:26" ht="12.75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</row>
    <row r="142" spans="1:26" ht="12.75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</row>
    <row r="143" spans="1:26" ht="12.75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</row>
    <row r="144" spans="1:26" ht="12.75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</row>
    <row r="145" spans="1:26" ht="12.75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</row>
    <row r="146" spans="1:26" ht="12.75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</row>
    <row r="147" spans="1:26" ht="12.75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</row>
    <row r="148" spans="1:26" ht="12.75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</row>
    <row r="149" spans="1:26" ht="12.75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</row>
    <row r="150" spans="1:26" ht="12.75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</row>
    <row r="151" spans="1:26" ht="12.75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</row>
    <row r="152" spans="1:26" ht="12.75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</row>
    <row r="153" spans="1:26" ht="12.75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</row>
    <row r="154" spans="1:26" ht="12.75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</row>
    <row r="155" spans="1:26" ht="12.75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</row>
    <row r="156" spans="1:26" ht="12.75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</row>
    <row r="157" spans="1:26" ht="12.75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</row>
    <row r="158" spans="1:26" ht="12.75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</row>
    <row r="159" spans="1:26" ht="12.75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</row>
    <row r="160" spans="1:26" ht="12.75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</row>
    <row r="161" spans="1:26" ht="12.75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</row>
    <row r="162" spans="1:26" ht="12.75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</row>
    <row r="163" spans="1:26" ht="12.75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</row>
    <row r="164" spans="1:26" ht="12.75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</row>
    <row r="165" spans="1:26" ht="12.75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</row>
    <row r="166" spans="1:26" ht="12.75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</row>
    <row r="167" spans="1:26" ht="12.75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</row>
    <row r="168" spans="1:26" ht="12.75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</row>
    <row r="169" spans="1:26" ht="12.75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</row>
    <row r="170" spans="1:26" ht="12.75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</row>
    <row r="171" spans="1:26" ht="12.75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</row>
    <row r="172" spans="1:26" ht="12.75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</row>
    <row r="173" spans="1:26" ht="12.75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</row>
    <row r="174" spans="1:26" ht="12.75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</row>
    <row r="175" spans="1:26" ht="12.75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</row>
    <row r="176" spans="1:26" ht="12.75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</row>
    <row r="177" spans="1:26" ht="12.75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</row>
    <row r="178" spans="1:26" ht="12.75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</row>
    <row r="179" spans="1:26" ht="12.75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</row>
    <row r="180" spans="1:26" ht="12.75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</row>
    <row r="181" spans="1:26" ht="12.75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</row>
    <row r="182" spans="1:26" ht="12.75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</row>
    <row r="183" spans="1:26" ht="12.75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</row>
    <row r="184" spans="1:26" ht="12.75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</row>
    <row r="185" spans="1:26" ht="12.75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</row>
    <row r="186" spans="1:26" ht="12.75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</row>
    <row r="187" spans="1:26" ht="12.75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</row>
    <row r="188" spans="1:26" ht="12.75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</row>
    <row r="189" spans="1:26" ht="12.75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</row>
    <row r="190" spans="1:26" ht="12.75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</row>
    <row r="191" spans="1:26" ht="12.75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</row>
    <row r="192" spans="1:26" ht="12.75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</row>
    <row r="193" spans="1:26" ht="12.75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</row>
    <row r="194" spans="1:26" ht="12.75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</row>
    <row r="195" spans="1:26" ht="12.75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</row>
    <row r="196" spans="1:26" ht="12.75">
      <c r="A196" s="217"/>
      <c r="B196" s="217"/>
      <c r="C196" s="217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</row>
    <row r="197" spans="1:26" ht="12.75">
      <c r="A197" s="217"/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</row>
    <row r="198" spans="1:26" ht="12.75">
      <c r="A198" s="217"/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</row>
    <row r="199" spans="1:26" ht="12.75">
      <c r="A199" s="217"/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</row>
    <row r="200" spans="1:26" ht="12.75">
      <c r="A200" s="217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</row>
    <row r="201" spans="1:26" ht="12.75">
      <c r="A201" s="217"/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</row>
    <row r="202" spans="1:26" ht="12.75">
      <c r="A202" s="217"/>
      <c r="B202" s="217"/>
      <c r="C202" s="217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</row>
    <row r="203" spans="1:26" ht="12.75">
      <c r="A203" s="217"/>
      <c r="B203" s="217"/>
      <c r="C203" s="217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</row>
    <row r="204" spans="1:26" ht="12.75">
      <c r="A204" s="217"/>
      <c r="B204" s="217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</row>
    <row r="205" spans="1:26" ht="12.75">
      <c r="A205" s="217"/>
      <c r="B205" s="217"/>
      <c r="C205" s="217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</row>
    <row r="206" spans="1:26" ht="12.75">
      <c r="A206" s="217"/>
      <c r="B206" s="217"/>
      <c r="C206" s="217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</row>
    <row r="207" spans="1:26" ht="12.75">
      <c r="A207" s="217"/>
      <c r="B207" s="217"/>
      <c r="C207" s="217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</row>
    <row r="208" spans="1:26" ht="12.75">
      <c r="A208" s="217"/>
      <c r="B208" s="217"/>
      <c r="C208" s="217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</row>
    <row r="209" spans="1:26" ht="12.75">
      <c r="A209" s="217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</row>
    <row r="210" spans="1:26" ht="12.75">
      <c r="A210" s="217"/>
      <c r="B210" s="217"/>
      <c r="C210" s="217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</row>
    <row r="211" spans="1:26" ht="12.75">
      <c r="A211" s="217"/>
      <c r="B211" s="217"/>
      <c r="C211" s="217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</row>
    <row r="212" spans="1:26" ht="12.75">
      <c r="A212" s="217"/>
      <c r="B212" s="217"/>
      <c r="C212" s="217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</row>
    <row r="213" spans="1:26" ht="12.75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</row>
    <row r="214" spans="1:26" ht="12.75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</row>
    <row r="215" spans="1:26" ht="12.75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</row>
    <row r="216" spans="1:26" ht="12.75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</row>
    <row r="217" spans="1:26" ht="12.75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</row>
    <row r="218" spans="1:26" ht="12.75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</row>
    <row r="219" spans="1:26" ht="12.75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</row>
    <row r="220" spans="1:26" ht="12.75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</row>
    <row r="221" spans="1:26" ht="12.75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</row>
    <row r="222" spans="1:26" ht="12.75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</row>
    <row r="223" spans="1:26" ht="12.75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</row>
    <row r="224" spans="1:26" ht="12.75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</row>
    <row r="225" spans="1:26" ht="12.75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</row>
    <row r="226" spans="1:26" ht="12.75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</row>
    <row r="227" spans="1:26" ht="12.75">
      <c r="A227" s="217"/>
      <c r="B227" s="217"/>
      <c r="C227" s="217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</row>
    <row r="228" spans="1:26" ht="12.75">
      <c r="A228" s="217"/>
      <c r="B228" s="217"/>
      <c r="C228" s="217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</row>
    <row r="229" spans="1:26" ht="12.75">
      <c r="A229" s="217"/>
      <c r="B229" s="217"/>
      <c r="C229" s="217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</row>
    <row r="230" spans="1:26" ht="12.75">
      <c r="A230" s="217"/>
      <c r="B230" s="217"/>
      <c r="C230" s="217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</row>
    <row r="231" spans="1:26" ht="12.75">
      <c r="A231" s="217"/>
      <c r="B231" s="217"/>
      <c r="C231" s="217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</row>
    <row r="232" spans="1:26" ht="12.75">
      <c r="A232" s="217"/>
      <c r="B232" s="217"/>
      <c r="C232" s="217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</row>
    <row r="233" spans="1:26" ht="12.75">
      <c r="A233" s="217"/>
      <c r="B233" s="217"/>
      <c r="C233" s="217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</row>
    <row r="234" spans="1:26" ht="12.75">
      <c r="A234" s="217"/>
      <c r="B234" s="217"/>
      <c r="C234" s="217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</row>
    <row r="235" spans="1:26" ht="12.75">
      <c r="A235" s="217"/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</row>
    <row r="236" spans="1:26" ht="12.75">
      <c r="A236" s="217"/>
      <c r="B236" s="217"/>
      <c r="C236" s="217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</row>
    <row r="237" spans="1:26" ht="12.75">
      <c r="A237" s="217"/>
      <c r="B237" s="217"/>
      <c r="C237" s="217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</row>
    <row r="238" spans="1:26" ht="12.75">
      <c r="A238" s="217"/>
      <c r="B238" s="217"/>
      <c r="C238" s="217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</row>
    <row r="239" spans="1:26" ht="12.75">
      <c r="A239" s="217"/>
      <c r="B239" s="217"/>
      <c r="C239" s="217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</row>
    <row r="240" spans="1:26" ht="12.75">
      <c r="A240" s="217"/>
      <c r="B240" s="217"/>
      <c r="C240" s="217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</row>
    <row r="241" spans="1:26" ht="12.75">
      <c r="A241" s="217"/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</row>
    <row r="242" spans="1:26" ht="12.75">
      <c r="A242" s="217"/>
      <c r="B242" s="217"/>
      <c r="C242" s="217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</row>
    <row r="243" spans="1:26" ht="12.75">
      <c r="A243" s="217"/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</row>
    <row r="244" spans="1:26" ht="12.75">
      <c r="A244" s="217"/>
      <c r="B244" s="217"/>
      <c r="C244" s="217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</row>
    <row r="245" spans="1:26" ht="12.75">
      <c r="A245" s="217"/>
      <c r="B245" s="217"/>
      <c r="C245" s="217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</row>
    <row r="246" spans="1:26" ht="12.75">
      <c r="A246" s="217"/>
      <c r="B246" s="217"/>
      <c r="C246" s="217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</row>
    <row r="247" spans="1:26" ht="12.75">
      <c r="A247" s="217"/>
      <c r="B247" s="217"/>
      <c r="C247" s="217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</row>
    <row r="248" spans="1:26" ht="12.75">
      <c r="A248" s="217"/>
      <c r="B248" s="217"/>
      <c r="C248" s="217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</row>
    <row r="249" spans="1:26" ht="12.75">
      <c r="A249" s="217"/>
      <c r="B249" s="217"/>
      <c r="C249" s="217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</row>
    <row r="250" spans="1:26" ht="12.75">
      <c r="A250" s="217"/>
      <c r="B250" s="217"/>
      <c r="C250" s="217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</row>
    <row r="251" spans="1:26" ht="12.75">
      <c r="A251" s="217"/>
      <c r="B251" s="217"/>
      <c r="C251" s="217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</row>
    <row r="252" spans="1:26" ht="12.75">
      <c r="A252" s="217"/>
      <c r="B252" s="217"/>
      <c r="C252" s="217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</row>
    <row r="253" spans="1:26" ht="12.75">
      <c r="A253" s="217"/>
      <c r="B253" s="217"/>
      <c r="C253" s="217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</row>
    <row r="254" spans="1:26" ht="12.75">
      <c r="A254" s="217"/>
      <c r="B254" s="217"/>
      <c r="C254" s="217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</row>
    <row r="255" spans="1:26" ht="12.75">
      <c r="A255" s="217"/>
      <c r="B255" s="217"/>
      <c r="C255" s="217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</row>
    <row r="256" spans="1:26" ht="12.75">
      <c r="A256" s="217"/>
      <c r="B256" s="217"/>
      <c r="C256" s="217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</row>
    <row r="257" spans="1:26" ht="12.75">
      <c r="A257" s="217"/>
      <c r="B257" s="217"/>
      <c r="C257" s="217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</row>
    <row r="258" spans="1:26" ht="12.75">
      <c r="A258" s="217"/>
      <c r="B258" s="217"/>
      <c r="C258" s="217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</row>
    <row r="259" spans="1:26" ht="12.75">
      <c r="A259" s="217"/>
      <c r="B259" s="217"/>
      <c r="C259" s="217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</row>
    <row r="260" spans="1:26" ht="12.75">
      <c r="A260" s="217"/>
      <c r="B260" s="217"/>
      <c r="C260" s="217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</row>
    <row r="261" spans="1:26" ht="12.75">
      <c r="A261" s="217"/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</row>
    <row r="262" spans="1:26" ht="12.75">
      <c r="A262" s="217"/>
      <c r="B262" s="217"/>
      <c r="C262" s="217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</row>
    <row r="263" spans="1:26" ht="12.75">
      <c r="A263" s="217"/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</row>
    <row r="264" spans="1:26" ht="12.75">
      <c r="A264" s="217"/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</row>
    <row r="265" spans="1:26" ht="12.75">
      <c r="A265" s="217"/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</row>
    <row r="266" spans="1:26" ht="12.75">
      <c r="A266" s="217"/>
      <c r="B266" s="217"/>
      <c r="C266" s="217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</row>
    <row r="267" spans="1:26" ht="12.75">
      <c r="A267" s="217"/>
      <c r="B267" s="217"/>
      <c r="C267" s="217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</row>
    <row r="268" spans="1:26" ht="12.75">
      <c r="A268" s="217"/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</row>
    <row r="269" spans="1:26" ht="12.75">
      <c r="A269" s="217"/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</row>
    <row r="270" spans="1:26" ht="12.75">
      <c r="A270" s="217"/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</row>
    <row r="271" spans="1:26" ht="12.75">
      <c r="A271" s="217"/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</row>
    <row r="272" spans="1:26" ht="12.75">
      <c r="A272" s="217"/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</row>
    <row r="273" spans="1:26" ht="12.75">
      <c r="A273" s="217"/>
      <c r="B273" s="217"/>
      <c r="C273" s="217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</row>
    <row r="274" spans="1:26" ht="12.75">
      <c r="A274" s="217"/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</row>
    <row r="275" spans="1:26" ht="12.75">
      <c r="A275" s="217"/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</row>
    <row r="276" spans="1:26" ht="12.75">
      <c r="A276" s="217"/>
      <c r="B276" s="217"/>
      <c r="C276" s="217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</row>
    <row r="277" spans="1:26" ht="12.75">
      <c r="A277" s="217"/>
      <c r="B277" s="217"/>
      <c r="C277" s="217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</row>
    <row r="278" spans="1:26" ht="12.75">
      <c r="A278" s="217"/>
      <c r="B278" s="217"/>
      <c r="C278" s="217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</row>
    <row r="279" spans="1:26" ht="12.75">
      <c r="A279" s="217"/>
      <c r="B279" s="217"/>
      <c r="C279" s="217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</row>
    <row r="280" spans="1:26" ht="12.75">
      <c r="A280" s="217"/>
      <c r="B280" s="217"/>
      <c r="C280" s="217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</row>
    <row r="281" spans="1:26" ht="12.75">
      <c r="A281" s="217"/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</row>
    <row r="282" spans="1:26" ht="12.75">
      <c r="A282" s="217"/>
      <c r="B282" s="217"/>
      <c r="C282" s="217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</row>
    <row r="283" spans="1:26" ht="12.75">
      <c r="A283" s="217"/>
      <c r="B283" s="217"/>
      <c r="C283" s="217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</row>
    <row r="284" spans="1:26" ht="12.75">
      <c r="A284" s="217"/>
      <c r="B284" s="217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</row>
    <row r="285" spans="1:26" ht="12.75">
      <c r="A285" s="217"/>
      <c r="B285" s="217"/>
      <c r="C285" s="217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</row>
    <row r="286" spans="1:26" ht="12.75">
      <c r="A286" s="217"/>
      <c r="B286" s="217"/>
      <c r="C286" s="217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</row>
    <row r="287" spans="1:26" ht="12.75">
      <c r="A287" s="217"/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</row>
    <row r="288" spans="1:26" ht="12.75">
      <c r="A288" s="217"/>
      <c r="B288" s="217"/>
      <c r="C288" s="217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</row>
    <row r="289" spans="1:26" ht="12.75">
      <c r="A289" s="217"/>
      <c r="B289" s="217"/>
      <c r="C289" s="217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</row>
    <row r="290" spans="1:26" ht="12.75">
      <c r="A290" s="217"/>
      <c r="B290" s="217"/>
      <c r="C290" s="217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</row>
    <row r="291" spans="1:26" ht="12.75">
      <c r="A291" s="217"/>
      <c r="B291" s="217"/>
      <c r="C291" s="217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</row>
    <row r="292" spans="1:26" ht="12.75">
      <c r="A292" s="217"/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</row>
    <row r="293" spans="1:26" ht="12.75">
      <c r="A293" s="217"/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</row>
    <row r="294" spans="1:26" ht="12.75">
      <c r="A294" s="217"/>
      <c r="B294" s="217"/>
      <c r="C294" s="217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</row>
    <row r="295" spans="1:26" ht="12.75">
      <c r="A295" s="217"/>
      <c r="B295" s="217"/>
      <c r="C295" s="217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</row>
    <row r="296" spans="1:26" ht="12.75">
      <c r="A296" s="217"/>
      <c r="B296" s="217"/>
      <c r="C296" s="217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</row>
    <row r="297" spans="1:26" ht="12.75">
      <c r="A297" s="217"/>
      <c r="B297" s="217"/>
      <c r="C297" s="217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</row>
    <row r="298" spans="1:26" ht="12.75">
      <c r="A298" s="217"/>
      <c r="B298" s="217"/>
      <c r="C298" s="217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</row>
    <row r="299" spans="1:26" ht="12.75">
      <c r="A299" s="217"/>
      <c r="B299" s="217"/>
      <c r="C299" s="217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</row>
    <row r="300" spans="1:26" ht="12.75">
      <c r="A300" s="217"/>
      <c r="B300" s="217"/>
      <c r="C300" s="217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</row>
    <row r="301" spans="1:26" ht="12.75">
      <c r="A301" s="217"/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</row>
    <row r="302" spans="1:26" ht="12.75">
      <c r="A302" s="217"/>
      <c r="B302" s="217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</row>
    <row r="303" spans="1:26" ht="12.75">
      <c r="A303" s="217"/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</row>
    <row r="304" spans="1:26" ht="12.75">
      <c r="A304" s="217"/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</row>
    <row r="305" spans="1:26" ht="12.75">
      <c r="A305" s="217"/>
      <c r="B305" s="217"/>
      <c r="C305" s="217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</row>
    <row r="306" spans="1:26" ht="12.75">
      <c r="A306" s="217"/>
      <c r="B306" s="217"/>
      <c r="C306" s="217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</row>
    <row r="307" spans="1:26" ht="12.75">
      <c r="A307" s="217"/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</row>
    <row r="308" spans="1:26" ht="12.75">
      <c r="A308" s="217"/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</row>
    <row r="309" spans="1:26" ht="12.75">
      <c r="A309" s="217"/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</row>
    <row r="310" spans="1:26" ht="12.75">
      <c r="A310" s="217"/>
      <c r="B310" s="217"/>
      <c r="C310" s="217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</row>
    <row r="311" spans="1:26" ht="12.75">
      <c r="A311" s="217"/>
      <c r="B311" s="217"/>
      <c r="C311" s="217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</row>
    <row r="312" spans="1:26" ht="12.75">
      <c r="A312" s="217"/>
      <c r="B312" s="217"/>
      <c r="C312" s="217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</row>
    <row r="313" spans="1:26" ht="12.75">
      <c r="A313" s="217"/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</row>
    <row r="314" spans="1:26" ht="12.75">
      <c r="A314" s="217"/>
      <c r="B314" s="217"/>
      <c r="C314" s="217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</row>
    <row r="315" spans="1:26" ht="12.75">
      <c r="A315" s="217"/>
      <c r="B315" s="217"/>
      <c r="C315" s="217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</row>
    <row r="316" spans="1:26" ht="12.75">
      <c r="A316" s="217"/>
      <c r="B316" s="217"/>
      <c r="C316" s="217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</row>
    <row r="317" spans="1:26" ht="12.75">
      <c r="A317" s="217"/>
      <c r="B317" s="217"/>
      <c r="C317" s="217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</row>
    <row r="318" spans="1:26" ht="12.75">
      <c r="A318" s="217"/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</row>
    <row r="319" spans="1:26" ht="12.75">
      <c r="A319" s="217"/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</row>
    <row r="320" spans="1:26" ht="12.75">
      <c r="A320" s="217"/>
      <c r="B320" s="217"/>
      <c r="C320" s="217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</row>
    <row r="321" spans="1:26" ht="12.75">
      <c r="A321" s="217"/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</row>
    <row r="322" spans="1:26" ht="12.75">
      <c r="A322" s="217"/>
      <c r="B322" s="217"/>
      <c r="C322" s="217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</row>
    <row r="323" spans="1:26" ht="12.75">
      <c r="A323" s="217"/>
      <c r="B323" s="217"/>
      <c r="C323" s="217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</row>
    <row r="324" spans="1:26" ht="12.75">
      <c r="A324" s="217"/>
      <c r="B324" s="217"/>
      <c r="C324" s="217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</row>
    <row r="325" spans="1:26" ht="12.75">
      <c r="A325" s="217"/>
      <c r="B325" s="217"/>
      <c r="C325" s="217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</row>
    <row r="326" spans="1:26" ht="12.75">
      <c r="A326" s="217"/>
      <c r="B326" s="217"/>
      <c r="C326" s="217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</row>
    <row r="327" spans="1:26" ht="12.75">
      <c r="A327" s="217"/>
      <c r="B327" s="217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</row>
    <row r="328" spans="1:26" ht="12.75">
      <c r="A328" s="217"/>
      <c r="B328" s="217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</row>
    <row r="329" spans="1:26" ht="12.75">
      <c r="A329" s="217"/>
      <c r="B329" s="217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</row>
    <row r="330" spans="1:26" ht="12.75">
      <c r="A330" s="217"/>
      <c r="B330" s="217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</row>
    <row r="331" spans="1:26" ht="12.75">
      <c r="A331" s="217"/>
      <c r="B331" s="217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</row>
    <row r="332" spans="1:26" ht="12.75">
      <c r="A332" s="217"/>
      <c r="B332" s="217"/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</row>
    <row r="333" spans="1:26" ht="12.75">
      <c r="A333" s="217"/>
      <c r="B333" s="217"/>
      <c r="C333" s="217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</row>
    <row r="334" spans="1:26" ht="12.75">
      <c r="A334" s="217"/>
      <c r="B334" s="217"/>
      <c r="C334" s="217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</row>
    <row r="335" spans="1:26" ht="12.75">
      <c r="A335" s="217"/>
      <c r="B335" s="217"/>
      <c r="C335" s="217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</row>
    <row r="336" spans="1:26" ht="12.75">
      <c r="A336" s="217"/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</row>
    <row r="337" spans="1:26" ht="12.75">
      <c r="A337" s="217"/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</row>
    <row r="338" spans="1:26" ht="12.75">
      <c r="A338" s="217"/>
      <c r="B338" s="217"/>
      <c r="C338" s="217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</row>
    <row r="339" spans="1:26" ht="12.75">
      <c r="A339" s="217"/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</row>
    <row r="340" spans="1:26" ht="12.75">
      <c r="A340" s="217"/>
      <c r="B340" s="217"/>
      <c r="C340" s="217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</row>
    <row r="341" spans="1:26" ht="12.75">
      <c r="A341" s="217"/>
      <c r="B341" s="217"/>
      <c r="C341" s="217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</row>
    <row r="342" spans="1:26" ht="12.75">
      <c r="A342" s="217"/>
      <c r="B342" s="217"/>
      <c r="C342" s="217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</row>
    <row r="343" spans="1:26" ht="12.75">
      <c r="A343" s="217"/>
      <c r="B343" s="217"/>
      <c r="C343" s="217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</row>
    <row r="344" spans="1:26" ht="12.75">
      <c r="A344" s="217"/>
      <c r="B344" s="217"/>
      <c r="C344" s="217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</row>
    <row r="345" spans="1:26" ht="12.75">
      <c r="A345" s="217"/>
      <c r="B345" s="217"/>
      <c r="C345" s="217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</row>
    <row r="346" spans="1:26" ht="12.75">
      <c r="A346" s="217"/>
      <c r="B346" s="217"/>
      <c r="C346" s="217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</row>
    <row r="347" spans="1:26" ht="12.75">
      <c r="A347" s="217"/>
      <c r="B347" s="217"/>
      <c r="C347" s="217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</row>
    <row r="348" spans="1:26" ht="12.75">
      <c r="A348" s="217"/>
      <c r="B348" s="217"/>
      <c r="C348" s="217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</row>
    <row r="349" spans="1:26" ht="12.75">
      <c r="A349" s="217"/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</row>
    <row r="350" spans="1:26" ht="12.75">
      <c r="A350" s="217"/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</row>
    <row r="351" spans="1:26" ht="12.75">
      <c r="A351" s="217"/>
      <c r="B351" s="217"/>
      <c r="C351" s="217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</row>
    <row r="352" spans="1:26" ht="12.75">
      <c r="A352" s="217"/>
      <c r="B352" s="217"/>
      <c r="C352" s="217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</row>
    <row r="353" spans="1:26" ht="12.75">
      <c r="A353" s="217"/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</row>
    <row r="354" spans="1:26" ht="12.75">
      <c r="A354" s="217"/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</row>
    <row r="355" spans="1:26" ht="12.75">
      <c r="A355" s="217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</row>
    <row r="356" spans="1:26" ht="12.75">
      <c r="A356" s="217"/>
      <c r="B356" s="217"/>
      <c r="C356" s="217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</row>
    <row r="357" spans="1:26" ht="12.75">
      <c r="A357" s="217"/>
      <c r="B357" s="217"/>
      <c r="C357" s="217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</row>
    <row r="358" spans="1:26" ht="12.75">
      <c r="A358" s="217"/>
      <c r="B358" s="217"/>
      <c r="C358" s="217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</row>
    <row r="359" spans="1:26" ht="12.75">
      <c r="A359" s="217"/>
      <c r="B359" s="217"/>
      <c r="C359" s="217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</row>
    <row r="360" spans="1:26" ht="12.75">
      <c r="A360" s="217"/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</row>
    <row r="361" spans="1:26" ht="12.75">
      <c r="A361" s="217"/>
      <c r="B361" s="217"/>
      <c r="C361" s="217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</row>
    <row r="362" spans="1:26" ht="12.75">
      <c r="A362" s="217"/>
      <c r="B362" s="217"/>
      <c r="C362" s="217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</row>
    <row r="363" spans="1:26" ht="12.75">
      <c r="A363" s="217"/>
      <c r="B363" s="217"/>
      <c r="C363" s="217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</row>
    <row r="364" spans="1:26" ht="12.75">
      <c r="A364" s="217"/>
      <c r="B364" s="217"/>
      <c r="C364" s="217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</row>
    <row r="365" spans="1:26" ht="12.75">
      <c r="A365" s="217"/>
      <c r="B365" s="217"/>
      <c r="C365" s="217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</row>
    <row r="366" spans="1:26" ht="12.75">
      <c r="A366" s="217"/>
      <c r="B366" s="217"/>
      <c r="C366" s="217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</row>
    <row r="367" spans="1:26" ht="12.75">
      <c r="A367" s="217"/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</row>
    <row r="368" spans="1:26" ht="12.75">
      <c r="A368" s="217"/>
      <c r="B368" s="217"/>
      <c r="C368" s="217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</row>
    <row r="369" spans="1:26" ht="12.75">
      <c r="A369" s="217"/>
      <c r="B369" s="217"/>
      <c r="C369" s="217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</row>
    <row r="370" spans="1:26" ht="12.75">
      <c r="A370" s="217"/>
      <c r="B370" s="217"/>
      <c r="C370" s="217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</row>
    <row r="371" spans="1:26" ht="12.75">
      <c r="A371" s="217"/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</row>
    <row r="372" spans="1:26" ht="12.75">
      <c r="A372" s="217"/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</row>
    <row r="373" spans="1:26" ht="12.75">
      <c r="A373" s="217"/>
      <c r="B373" s="217"/>
      <c r="C373" s="217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</row>
    <row r="374" spans="1:26" ht="12.75">
      <c r="A374" s="217"/>
      <c r="B374" s="217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</row>
    <row r="375" spans="1:26" ht="12.75">
      <c r="A375" s="217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</row>
    <row r="376" spans="1:26" ht="12.75">
      <c r="A376" s="217"/>
      <c r="B376" s="217"/>
      <c r="C376" s="217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</row>
    <row r="377" spans="1:26" ht="12.75">
      <c r="A377" s="217"/>
      <c r="B377" s="217"/>
      <c r="C377" s="217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</row>
    <row r="378" spans="1:26" ht="12.75">
      <c r="A378" s="217"/>
      <c r="B378" s="217"/>
      <c r="C378" s="217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</row>
    <row r="379" spans="1:26" ht="12.75">
      <c r="A379" s="217"/>
      <c r="B379" s="217"/>
      <c r="C379" s="217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</row>
    <row r="380" spans="1:26" ht="12.75">
      <c r="A380" s="217"/>
      <c r="B380" s="217"/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</row>
    <row r="381" spans="1:26" ht="12.75">
      <c r="A381" s="217"/>
      <c r="B381" s="217"/>
      <c r="C381" s="217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</row>
    <row r="382" spans="1:26" ht="12.75">
      <c r="A382" s="217"/>
      <c r="B382" s="217"/>
      <c r="C382" s="217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</row>
    <row r="383" spans="1:26" ht="12.75">
      <c r="A383" s="217"/>
      <c r="B383" s="217"/>
      <c r="C383" s="217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</row>
    <row r="384" spans="1:26" ht="12.75">
      <c r="A384" s="217"/>
      <c r="B384" s="217"/>
      <c r="C384" s="217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</row>
    <row r="385" spans="1:26" ht="12.75">
      <c r="A385" s="217"/>
      <c r="B385" s="217"/>
      <c r="C385" s="217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</row>
    <row r="386" spans="1:26" ht="12.75">
      <c r="A386" s="217"/>
      <c r="B386" s="217"/>
      <c r="C386" s="217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</row>
    <row r="387" spans="1:26" ht="12.75">
      <c r="A387" s="217"/>
      <c r="B387" s="217"/>
      <c r="C387" s="217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</row>
    <row r="388" spans="1:26" ht="12.75">
      <c r="A388" s="217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</row>
    <row r="389" spans="1:26" ht="12.75">
      <c r="A389" s="217"/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</row>
    <row r="390" spans="1:26" ht="12.75">
      <c r="A390" s="217"/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</row>
    <row r="391" spans="1:26" ht="12.75">
      <c r="A391" s="217"/>
      <c r="B391" s="217"/>
      <c r="C391" s="217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</row>
    <row r="392" spans="1:26" ht="12.75">
      <c r="A392" s="217"/>
      <c r="B392" s="217"/>
      <c r="C392" s="217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</row>
    <row r="393" spans="1:26" ht="12.75">
      <c r="A393" s="217"/>
      <c r="B393" s="217"/>
      <c r="C393" s="217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</row>
    <row r="394" spans="1:26" ht="12.75">
      <c r="A394" s="217"/>
      <c r="B394" s="217"/>
      <c r="C394" s="217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</row>
    <row r="395" spans="1:26" ht="12.75">
      <c r="A395" s="217"/>
      <c r="B395" s="217"/>
      <c r="C395" s="217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</row>
    <row r="396" spans="1:26" ht="12.75">
      <c r="A396" s="217"/>
      <c r="B396" s="217"/>
      <c r="C396" s="217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</row>
    <row r="397" spans="1:26" ht="12.75">
      <c r="A397" s="217"/>
      <c r="B397" s="217"/>
      <c r="C397" s="217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</row>
    <row r="398" spans="1:26" ht="12.75">
      <c r="A398" s="217"/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</row>
    <row r="399" spans="1:26" ht="12.75">
      <c r="A399" s="217"/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</row>
    <row r="400" spans="1:26" ht="12.75">
      <c r="A400" s="217"/>
      <c r="B400" s="217"/>
      <c r="C400" s="217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</row>
    <row r="401" spans="1:26" ht="12.75">
      <c r="A401" s="217"/>
      <c r="B401" s="217"/>
      <c r="C401" s="217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</row>
    <row r="402" spans="1:26" ht="12.75">
      <c r="A402" s="217"/>
      <c r="B402" s="217"/>
      <c r="C402" s="217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</row>
    <row r="403" spans="1:26" ht="12.75">
      <c r="A403" s="217"/>
      <c r="B403" s="217"/>
      <c r="C403" s="217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</row>
    <row r="404" spans="1:26" ht="12.75">
      <c r="A404" s="217"/>
      <c r="B404" s="217"/>
      <c r="C404" s="217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</row>
    <row r="405" spans="1:26" ht="12.75">
      <c r="A405" s="217"/>
      <c r="B405" s="217"/>
      <c r="C405" s="217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</row>
    <row r="406" spans="1:26" ht="12.75">
      <c r="A406" s="217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</row>
    <row r="407" spans="1:26" ht="12.75">
      <c r="A407" s="217"/>
      <c r="B407" s="217"/>
      <c r="C407" s="217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</row>
    <row r="408" spans="1:26" ht="12.75">
      <c r="A408" s="217"/>
      <c r="B408" s="217"/>
      <c r="C408" s="217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</row>
    <row r="409" spans="1:26" ht="12.75">
      <c r="A409" s="217"/>
      <c r="B409" s="217"/>
      <c r="C409" s="217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</row>
    <row r="410" spans="1:26" ht="12.75">
      <c r="A410" s="217"/>
      <c r="B410" s="217"/>
      <c r="C410" s="217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</row>
    <row r="411" spans="1:26" ht="12.75">
      <c r="A411" s="217"/>
      <c r="B411" s="217"/>
      <c r="C411" s="217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</row>
    <row r="412" spans="1:26" ht="12.75">
      <c r="A412" s="217"/>
      <c r="B412" s="217"/>
      <c r="C412" s="217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</row>
    <row r="413" spans="1:26" ht="12.75">
      <c r="A413" s="217"/>
      <c r="B413" s="217"/>
      <c r="C413" s="217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</row>
    <row r="414" spans="1:26" ht="12.75">
      <c r="A414" s="217"/>
      <c r="B414" s="217"/>
      <c r="C414" s="217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</row>
    <row r="415" spans="1:26" ht="12.75">
      <c r="A415" s="217"/>
      <c r="B415" s="217"/>
      <c r="C415" s="217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</row>
    <row r="416" spans="1:26" ht="12.75">
      <c r="A416" s="217"/>
      <c r="B416" s="217"/>
      <c r="C416" s="217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</row>
    <row r="417" spans="1:26" ht="12.75">
      <c r="A417" s="217"/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</row>
    <row r="418" spans="1:26" ht="12.75">
      <c r="A418" s="217"/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</row>
    <row r="419" spans="1:26" ht="12.75">
      <c r="A419" s="217"/>
      <c r="B419" s="217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</row>
    <row r="420" spans="1:26" ht="12.75">
      <c r="A420" s="217"/>
      <c r="B420" s="217"/>
      <c r="C420" s="217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</row>
    <row r="421" spans="1:26" ht="12.75">
      <c r="A421" s="217"/>
      <c r="B421" s="217"/>
      <c r="C421" s="217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</row>
    <row r="422" spans="1:26" ht="12.75">
      <c r="A422" s="217"/>
      <c r="B422" s="217"/>
      <c r="C422" s="217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</row>
    <row r="423" spans="1:26" ht="12.75">
      <c r="A423" s="217"/>
      <c r="B423" s="217"/>
      <c r="C423" s="217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</row>
    <row r="424" spans="1:26" ht="12.75">
      <c r="A424" s="217"/>
      <c r="B424" s="217"/>
      <c r="C424" s="217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</row>
    <row r="425" spans="1:26" ht="12.75">
      <c r="A425" s="217"/>
      <c r="B425" s="217"/>
      <c r="C425" s="217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</row>
    <row r="426" spans="1:26" ht="12.75">
      <c r="A426" s="217"/>
      <c r="B426" s="217"/>
      <c r="C426" s="217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</row>
    <row r="427" spans="1:26" ht="12.75">
      <c r="A427" s="217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</row>
    <row r="428" spans="1:26" ht="12.75">
      <c r="A428" s="217"/>
      <c r="B428" s="217"/>
      <c r="C428" s="217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</row>
    <row r="429" spans="1:26" ht="12.75">
      <c r="A429" s="217"/>
      <c r="B429" s="217"/>
      <c r="C429" s="217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</row>
    <row r="430" spans="1:26" ht="12.75">
      <c r="A430" s="217"/>
      <c r="B430" s="217"/>
      <c r="C430" s="217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</row>
    <row r="431" spans="1:26" ht="12.75">
      <c r="A431" s="217"/>
      <c r="B431" s="217"/>
      <c r="C431" s="217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</row>
    <row r="432" spans="1:26" ht="12.75">
      <c r="A432" s="217"/>
      <c r="B432" s="217"/>
      <c r="C432" s="217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</row>
    <row r="433" spans="1:26" ht="12.75">
      <c r="A433" s="217"/>
      <c r="B433" s="217"/>
      <c r="C433" s="217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</row>
    <row r="434" spans="1:26" ht="12.75">
      <c r="A434" s="217"/>
      <c r="B434" s="217"/>
      <c r="C434" s="217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</row>
    <row r="435" spans="1:26" ht="12.75">
      <c r="A435" s="217"/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</row>
    <row r="436" spans="1:26" ht="12.75">
      <c r="A436" s="217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</row>
    <row r="437" spans="1:26" ht="12.75">
      <c r="A437" s="217"/>
      <c r="B437" s="217"/>
      <c r="C437" s="217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</row>
    <row r="438" spans="1:26" ht="12.75">
      <c r="A438" s="217"/>
      <c r="B438" s="217"/>
      <c r="C438" s="217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</row>
    <row r="439" spans="1:26" ht="12.75">
      <c r="A439" s="217"/>
      <c r="B439" s="217"/>
      <c r="C439" s="217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</row>
    <row r="440" spans="1:26" ht="12.75">
      <c r="A440" s="217"/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</row>
    <row r="441" spans="1:26" ht="12.75">
      <c r="A441" s="217"/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</row>
    <row r="442" spans="1:26" ht="12.75">
      <c r="A442" s="217"/>
      <c r="B442" s="217"/>
      <c r="C442" s="217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</row>
    <row r="443" spans="1:26" ht="12.75">
      <c r="A443" s="217"/>
      <c r="B443" s="217"/>
      <c r="C443" s="217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</row>
    <row r="444" spans="1:26" ht="12.75">
      <c r="A444" s="217"/>
      <c r="B444" s="217"/>
      <c r="C444" s="217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</row>
    <row r="445" spans="1:26" ht="12.75">
      <c r="A445" s="217"/>
      <c r="B445" s="217"/>
      <c r="C445" s="217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</row>
    <row r="446" spans="1:26" ht="12.75">
      <c r="A446" s="217"/>
      <c r="B446" s="217"/>
      <c r="C446" s="217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</row>
    <row r="447" spans="1:26" ht="12.75">
      <c r="A447" s="217"/>
      <c r="B447" s="217"/>
      <c r="C447" s="217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</row>
    <row r="448" spans="1:26" ht="12.75">
      <c r="A448" s="217"/>
      <c r="B448" s="217"/>
      <c r="C448" s="217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</row>
    <row r="449" spans="1:26" ht="12.75">
      <c r="A449" s="217"/>
      <c r="B449" s="217"/>
      <c r="C449" s="217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</row>
    <row r="450" spans="1:26" ht="12.75">
      <c r="A450" s="217"/>
      <c r="B450" s="217"/>
      <c r="C450" s="217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</row>
    <row r="451" spans="1:26" ht="12.75">
      <c r="A451" s="217"/>
      <c r="B451" s="217"/>
      <c r="C451" s="217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</row>
    <row r="452" spans="1:26" ht="12.75">
      <c r="A452" s="217"/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</row>
    <row r="453" spans="1:26" ht="12.75">
      <c r="A453" s="217"/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</row>
    <row r="454" spans="1:26" ht="12.75">
      <c r="A454" s="217"/>
      <c r="B454" s="217"/>
      <c r="C454" s="217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</row>
    <row r="455" spans="1:26" ht="12.75">
      <c r="A455" s="217"/>
      <c r="B455" s="217"/>
      <c r="C455" s="217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</row>
    <row r="456" spans="1:26" ht="12.75">
      <c r="A456" s="217"/>
      <c r="B456" s="217"/>
      <c r="C456" s="217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</row>
    <row r="457" spans="1:26" ht="12.75">
      <c r="A457" s="217"/>
      <c r="B457" s="217"/>
      <c r="C457" s="217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</row>
    <row r="458" spans="1:26" ht="12.75">
      <c r="A458" s="217"/>
      <c r="B458" s="217"/>
      <c r="C458" s="217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</row>
    <row r="459" spans="1:26" ht="12.75">
      <c r="A459" s="217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</row>
    <row r="460" spans="1:26" ht="12.75">
      <c r="A460" s="217"/>
      <c r="B460" s="217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</row>
    <row r="461" spans="1:26" ht="12.75">
      <c r="A461" s="217"/>
      <c r="B461" s="217"/>
      <c r="C461" s="217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</row>
    <row r="462" spans="1:26" ht="12.75">
      <c r="A462" s="217"/>
      <c r="B462" s="217"/>
      <c r="C462" s="217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</row>
    <row r="463" spans="1:26" ht="12.75">
      <c r="A463" s="217"/>
      <c r="B463" s="217"/>
      <c r="C463" s="217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</row>
    <row r="464" spans="1:26" ht="12.75">
      <c r="A464" s="217"/>
      <c r="B464" s="217"/>
      <c r="C464" s="217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</row>
    <row r="465" spans="1:26" ht="12.75">
      <c r="A465" s="217"/>
      <c r="B465" s="217"/>
      <c r="C465" s="217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</row>
    <row r="466" spans="1:26" ht="12.75">
      <c r="A466" s="217"/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</row>
    <row r="467" spans="1:26" ht="12.75">
      <c r="A467" s="217"/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</row>
    <row r="468" spans="1:26" ht="12.75">
      <c r="A468" s="217"/>
      <c r="B468" s="217"/>
      <c r="C468" s="217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</row>
    <row r="469" spans="1:26" ht="12.75">
      <c r="A469" s="217"/>
      <c r="B469" s="217"/>
      <c r="C469" s="217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</row>
    <row r="470" spans="1:26" ht="12.75">
      <c r="A470" s="217"/>
      <c r="B470" s="217"/>
      <c r="C470" s="217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</row>
    <row r="471" spans="1:26" ht="12.75">
      <c r="A471" s="217"/>
      <c r="B471" s="217"/>
      <c r="C471" s="217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</row>
    <row r="472" spans="1:26" ht="12.75">
      <c r="A472" s="217"/>
      <c r="B472" s="217"/>
      <c r="C472" s="217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</row>
    <row r="473" spans="1:26" ht="12.75">
      <c r="A473" s="217"/>
      <c r="B473" s="217"/>
      <c r="C473" s="217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</row>
    <row r="474" spans="1:26" ht="12.75">
      <c r="A474" s="217"/>
      <c r="B474" s="217"/>
      <c r="C474" s="217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</row>
    <row r="475" spans="1:26" ht="12.75">
      <c r="A475" s="21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</row>
    <row r="476" spans="1:26" ht="12.75">
      <c r="A476" s="217"/>
      <c r="B476" s="217"/>
      <c r="C476" s="217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</row>
    <row r="477" spans="1:26" ht="12.75">
      <c r="A477" s="217"/>
      <c r="B477" s="217"/>
      <c r="C477" s="217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</row>
    <row r="478" spans="1:26" ht="12.75">
      <c r="A478" s="217"/>
      <c r="B478" s="217"/>
      <c r="C478" s="217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</row>
    <row r="479" spans="1:26" ht="12.75">
      <c r="A479" s="217"/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</row>
    <row r="480" spans="1:26" ht="12.75">
      <c r="A480" s="217"/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</row>
    <row r="481" spans="1:26" ht="12.75">
      <c r="A481" s="217"/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</row>
    <row r="482" spans="1:26" ht="12.75">
      <c r="A482" s="217"/>
      <c r="B482" s="217"/>
      <c r="C482" s="217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</row>
    <row r="483" spans="1:26" ht="12.75">
      <c r="A483" s="217"/>
      <c r="B483" s="217"/>
      <c r="C483" s="217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</row>
    <row r="484" spans="1:26" ht="12.75">
      <c r="A484" s="217"/>
      <c r="B484" s="217"/>
      <c r="C484" s="217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</row>
    <row r="485" spans="1:26" ht="12.75">
      <c r="A485" s="217"/>
      <c r="B485" s="217"/>
      <c r="C485" s="217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</row>
    <row r="486" spans="1:26" ht="12.75">
      <c r="A486" s="217"/>
      <c r="B486" s="217"/>
      <c r="C486" s="217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</row>
    <row r="487" spans="1:26" ht="12.75">
      <c r="A487" s="217"/>
      <c r="B487" s="217"/>
      <c r="C487" s="217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</row>
    <row r="488" spans="1:26" ht="12.75">
      <c r="A488" s="217"/>
      <c r="B488" s="217"/>
      <c r="C488" s="217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</row>
    <row r="489" spans="1:26" ht="12.75">
      <c r="A489" s="217"/>
      <c r="B489" s="217"/>
      <c r="C489" s="217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</row>
    <row r="490" spans="1:26" ht="12.75">
      <c r="A490" s="217"/>
      <c r="B490" s="217"/>
      <c r="C490" s="217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</row>
    <row r="491" spans="1:26" ht="12.75">
      <c r="A491" s="217"/>
      <c r="B491" s="217"/>
      <c r="C491" s="217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</row>
    <row r="492" spans="1:26" ht="12.75">
      <c r="A492" s="217"/>
      <c r="B492" s="217"/>
      <c r="C492" s="217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</row>
    <row r="493" spans="1:26" ht="12.75">
      <c r="A493" s="217"/>
      <c r="B493" s="217"/>
      <c r="C493" s="217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</row>
    <row r="494" spans="1:26" ht="12.75">
      <c r="A494" s="217"/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</row>
    <row r="495" spans="1:26" ht="12.75">
      <c r="A495" s="217"/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</row>
    <row r="496" spans="1:26" ht="12.75">
      <c r="A496" s="217"/>
      <c r="B496" s="217"/>
      <c r="C496" s="217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</row>
    <row r="497" spans="1:26" ht="12.75">
      <c r="A497" s="217"/>
      <c r="B497" s="217"/>
      <c r="C497" s="217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</row>
    <row r="498" spans="1:26" ht="12.75">
      <c r="A498" s="217"/>
      <c r="B498" s="217"/>
      <c r="C498" s="217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</row>
    <row r="499" spans="1:26" ht="12.75">
      <c r="A499" s="217"/>
      <c r="B499" s="217"/>
      <c r="C499" s="217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</row>
    <row r="500" spans="1:26" ht="12.75">
      <c r="A500" s="217"/>
      <c r="B500" s="217"/>
      <c r="C500" s="217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</row>
    <row r="501" spans="1:26" ht="12.75">
      <c r="A501" s="217"/>
      <c r="B501" s="217"/>
      <c r="C501" s="217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</row>
    <row r="502" spans="1:26" ht="12.75">
      <c r="A502" s="217"/>
      <c r="B502" s="217"/>
      <c r="C502" s="217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</row>
    <row r="503" spans="1:26" ht="12.75">
      <c r="A503" s="217"/>
      <c r="B503" s="217"/>
      <c r="C503" s="217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</row>
    <row r="504" spans="1:26" ht="12.75">
      <c r="A504" s="217"/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</row>
    <row r="505" spans="1:26" ht="12.75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</row>
    <row r="506" spans="1:26" ht="12.75">
      <c r="A506" s="217"/>
      <c r="B506" s="217"/>
      <c r="C506" s="217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</row>
    <row r="507" spans="1:26" ht="12.75">
      <c r="A507" s="217"/>
      <c r="B507" s="217"/>
      <c r="C507" s="217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</row>
    <row r="508" spans="1:26" ht="12.75">
      <c r="A508" s="217"/>
      <c r="B508" s="217"/>
      <c r="C508" s="217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</row>
    <row r="509" spans="1:26" ht="12.75">
      <c r="A509" s="217"/>
      <c r="B509" s="217"/>
      <c r="C509" s="217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</row>
    <row r="510" spans="1:26" ht="12.75">
      <c r="A510" s="217"/>
      <c r="B510" s="217"/>
      <c r="C510" s="217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</row>
    <row r="511" spans="1:26" ht="12.75">
      <c r="A511" s="217"/>
      <c r="B511" s="217"/>
      <c r="C511" s="217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</row>
    <row r="512" spans="1:26" ht="12.75">
      <c r="A512" s="217"/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</row>
    <row r="513" spans="1:26" ht="12.75">
      <c r="A513" s="217"/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</row>
    <row r="514" spans="1:26" ht="12.75">
      <c r="A514" s="217"/>
      <c r="B514" s="217"/>
      <c r="C514" s="217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</row>
    <row r="515" spans="1:26" ht="12.75">
      <c r="A515" s="217"/>
      <c r="B515" s="217"/>
      <c r="C515" s="217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</row>
    <row r="516" spans="1:26" ht="12.75">
      <c r="A516" s="217"/>
      <c r="B516" s="217"/>
      <c r="C516" s="217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</row>
    <row r="517" spans="1:26" ht="12.75">
      <c r="A517" s="217"/>
      <c r="B517" s="217"/>
      <c r="C517" s="217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</row>
    <row r="518" spans="1:26" ht="12.75">
      <c r="A518" s="217"/>
      <c r="B518" s="217"/>
      <c r="C518" s="217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</row>
    <row r="519" spans="1:26" ht="12.75">
      <c r="A519" s="217"/>
      <c r="B519" s="217"/>
      <c r="C519" s="217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</row>
    <row r="520" spans="1:26" ht="12.75">
      <c r="A520" s="217"/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</row>
    <row r="521" spans="1:26" ht="12.75">
      <c r="A521" s="217"/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</row>
    <row r="522" spans="1:26" ht="12.75">
      <c r="A522" s="217"/>
      <c r="B522" s="217"/>
      <c r="C522" s="217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</row>
    <row r="523" spans="1:26" ht="12.75">
      <c r="A523" s="217"/>
      <c r="B523" s="217"/>
      <c r="C523" s="217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</row>
    <row r="524" spans="1:26" ht="12.75">
      <c r="A524" s="217"/>
      <c r="B524" s="217"/>
      <c r="C524" s="217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</row>
    <row r="525" spans="1:26" ht="12.75">
      <c r="A525" s="217"/>
      <c r="B525" s="217"/>
      <c r="C525" s="217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</row>
    <row r="526" spans="1:26" ht="12.75">
      <c r="A526" s="217"/>
      <c r="B526" s="217"/>
      <c r="C526" s="217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</row>
    <row r="527" spans="1:26" ht="12.75">
      <c r="A527" s="217"/>
      <c r="B527" s="217"/>
      <c r="C527" s="217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</row>
    <row r="528" spans="1:26" ht="12.75">
      <c r="A528" s="217"/>
      <c r="B528" s="217"/>
      <c r="C528" s="217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</row>
    <row r="529" spans="1:26" ht="12.75">
      <c r="A529" s="217"/>
      <c r="B529" s="217"/>
      <c r="C529" s="217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</row>
    <row r="530" spans="1:26" ht="12.75">
      <c r="A530" s="217"/>
      <c r="B530" s="217"/>
      <c r="C530" s="217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</row>
    <row r="531" spans="1:26" ht="12.75">
      <c r="A531" s="217"/>
      <c r="B531" s="217"/>
      <c r="C531" s="217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</row>
    <row r="532" spans="1:26" ht="12.75">
      <c r="A532" s="217"/>
      <c r="B532" s="217"/>
      <c r="C532" s="217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</row>
    <row r="533" spans="1:26" ht="12.75">
      <c r="A533" s="217"/>
      <c r="B533" s="217"/>
      <c r="C533" s="217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</row>
    <row r="534" spans="1:26" ht="12.75">
      <c r="A534" s="217"/>
      <c r="B534" s="217"/>
      <c r="C534" s="217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</row>
    <row r="535" spans="1:26" ht="12.75">
      <c r="A535" s="217"/>
      <c r="B535" s="217"/>
      <c r="C535" s="217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</row>
    <row r="536" spans="1:26" ht="12.75">
      <c r="A536" s="217"/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</row>
    <row r="537" spans="1:26" ht="12.75">
      <c r="A537" s="217"/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</row>
    <row r="538" spans="1:26" ht="12.75">
      <c r="A538" s="217"/>
      <c r="B538" s="217"/>
      <c r="C538" s="217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</row>
    <row r="539" spans="1:26" ht="12.75">
      <c r="A539" s="217"/>
      <c r="B539" s="217"/>
      <c r="C539" s="217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</row>
    <row r="540" spans="1:26" ht="12.75">
      <c r="A540" s="217"/>
      <c r="B540" s="217"/>
      <c r="C540" s="217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</row>
    <row r="541" spans="1:26" ht="12.75">
      <c r="A541" s="217"/>
      <c r="B541" s="217"/>
      <c r="C541" s="217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</row>
    <row r="542" spans="1:26" ht="12.75">
      <c r="A542" s="217"/>
      <c r="B542" s="217"/>
      <c r="C542" s="217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</row>
    <row r="543" spans="1:26" ht="12.75">
      <c r="A543" s="217"/>
      <c r="B543" s="217"/>
      <c r="C543" s="217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</row>
    <row r="544" spans="1:26" ht="12.75">
      <c r="A544" s="217"/>
      <c r="B544" s="217"/>
      <c r="C544" s="217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</row>
    <row r="545" spans="1:26" ht="12.75">
      <c r="A545" s="217"/>
      <c r="B545" s="217"/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</row>
    <row r="546" spans="1:26" ht="12.75">
      <c r="A546" s="217"/>
      <c r="B546" s="217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</row>
    <row r="547" spans="1:26" ht="12.75">
      <c r="A547" s="217"/>
      <c r="B547" s="217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</row>
    <row r="548" spans="1:26" ht="12.75">
      <c r="A548" s="217"/>
      <c r="B548" s="217"/>
      <c r="C548" s="217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</row>
    <row r="549" spans="1:26" ht="12.75">
      <c r="A549" s="217"/>
      <c r="B549" s="217"/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</row>
    <row r="550" spans="1:26" ht="12.75">
      <c r="A550" s="217"/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</row>
    <row r="551" spans="1:26" ht="12.75">
      <c r="A551" s="217"/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</row>
    <row r="552" spans="1:26" ht="12.75">
      <c r="A552" s="217"/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</row>
    <row r="553" spans="1:26" ht="12.75">
      <c r="A553" s="217"/>
      <c r="B553" s="217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</row>
    <row r="554" spans="1:26" ht="12.75">
      <c r="A554" s="217"/>
      <c r="B554" s="217"/>
      <c r="C554" s="217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</row>
    <row r="555" spans="1:26" ht="12.75">
      <c r="A555" s="217"/>
      <c r="B555" s="217"/>
      <c r="C555" s="217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</row>
    <row r="556" spans="1:26" ht="12.75">
      <c r="A556" s="217"/>
      <c r="B556" s="217"/>
      <c r="C556" s="217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</row>
    <row r="557" spans="1:26" ht="12.75">
      <c r="A557" s="217"/>
      <c r="B557" s="217"/>
      <c r="C557" s="217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</row>
    <row r="558" spans="1:26" ht="12.75">
      <c r="A558" s="217"/>
      <c r="B558" s="217"/>
      <c r="C558" s="217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</row>
    <row r="559" spans="1:26" ht="12.75">
      <c r="A559" s="217"/>
      <c r="B559" s="217"/>
      <c r="C559" s="217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</row>
    <row r="560" spans="1:26" ht="12.75">
      <c r="A560" s="217"/>
      <c r="B560" s="217"/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</row>
    <row r="561" spans="1:26" ht="12.75">
      <c r="A561" s="217"/>
      <c r="B561" s="217"/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</row>
    <row r="562" spans="1:26" ht="12.75">
      <c r="A562" s="217"/>
      <c r="B562" s="217"/>
      <c r="C562" s="217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</row>
    <row r="563" spans="1:26" ht="12.75">
      <c r="A563" s="217"/>
      <c r="B563" s="217"/>
      <c r="C563" s="217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</row>
    <row r="564" spans="1:26" ht="12.75">
      <c r="A564" s="217"/>
      <c r="B564" s="217"/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</row>
    <row r="565" spans="1:26" ht="12.75">
      <c r="A565" s="217"/>
      <c r="B565" s="217"/>
      <c r="C565" s="217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</row>
    <row r="566" spans="1:26" ht="12.75">
      <c r="A566" s="217"/>
      <c r="B566" s="217"/>
      <c r="C566" s="217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</row>
    <row r="567" spans="1:26" ht="12.75">
      <c r="A567" s="217"/>
      <c r="B567" s="217"/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</row>
    <row r="568" spans="1:26" ht="12.75">
      <c r="A568" s="217"/>
      <c r="B568" s="217"/>
      <c r="C568" s="217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</row>
    <row r="569" spans="1:26" ht="12.75">
      <c r="A569" s="217"/>
      <c r="B569" s="217"/>
      <c r="C569" s="217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</row>
    <row r="570" spans="1:26" ht="12.75">
      <c r="A570" s="217"/>
      <c r="B570" s="217"/>
      <c r="C570" s="217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</row>
    <row r="571" spans="1:26" ht="12.75">
      <c r="A571" s="217"/>
      <c r="B571" s="217"/>
      <c r="C571" s="217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</row>
    <row r="572" spans="1:26" ht="12.75">
      <c r="A572" s="217"/>
      <c r="B572" s="217"/>
      <c r="C572" s="217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</row>
    <row r="573" spans="1:26" ht="12.75">
      <c r="A573" s="217"/>
      <c r="B573" s="217"/>
      <c r="C573" s="217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</row>
    <row r="574" spans="1:26" ht="12.75">
      <c r="A574" s="217"/>
      <c r="B574" s="217"/>
      <c r="C574" s="217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</row>
    <row r="575" spans="1:26" ht="12.75">
      <c r="A575" s="217"/>
      <c r="B575" s="217"/>
      <c r="C575" s="217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</row>
    <row r="576" spans="1:26" ht="12.75">
      <c r="A576" s="217"/>
      <c r="B576" s="217"/>
      <c r="C576" s="217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</row>
    <row r="577" spans="1:26" ht="12.75">
      <c r="A577" s="217"/>
      <c r="B577" s="217"/>
      <c r="C577" s="217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</row>
    <row r="578" spans="1:26" ht="12.75">
      <c r="A578" s="217"/>
      <c r="B578" s="217"/>
      <c r="C578" s="217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</row>
    <row r="579" spans="1:26" ht="12.75">
      <c r="A579" s="217"/>
      <c r="B579" s="217"/>
      <c r="C579" s="217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</row>
    <row r="580" spans="1:26" ht="12.75">
      <c r="A580" s="217"/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</row>
    <row r="581" spans="1:26" ht="12.75">
      <c r="A581" s="217"/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</row>
    <row r="582" spans="1:26" ht="12.75">
      <c r="A582" s="217"/>
      <c r="B582" s="217"/>
      <c r="C582" s="217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</row>
    <row r="583" spans="1:26" ht="12.75">
      <c r="A583" s="217"/>
      <c r="B583" s="217"/>
      <c r="C583" s="217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</row>
    <row r="584" spans="1:26" ht="12.75">
      <c r="A584" s="217"/>
      <c r="B584" s="217"/>
      <c r="C584" s="217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</row>
    <row r="585" spans="1:26" ht="12.75">
      <c r="A585" s="217"/>
      <c r="B585" s="217"/>
      <c r="C585" s="217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</row>
    <row r="586" spans="1:26" ht="12.75">
      <c r="A586" s="217"/>
      <c r="B586" s="217"/>
      <c r="C586" s="217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</row>
    <row r="587" spans="1:26" ht="12.75">
      <c r="A587" s="217"/>
      <c r="B587" s="217"/>
      <c r="C587" s="217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</row>
    <row r="588" spans="1:26" ht="12.75">
      <c r="A588" s="217"/>
      <c r="B588" s="217"/>
      <c r="C588" s="217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</row>
    <row r="589" spans="1:26" ht="12.75">
      <c r="A589" s="217"/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</row>
    <row r="590" spans="1:26" ht="12.75">
      <c r="A590" s="217"/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</row>
    <row r="591" spans="1:26" ht="12.75">
      <c r="A591" s="217"/>
      <c r="B591" s="217"/>
      <c r="C591" s="217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</row>
    <row r="592" spans="1:26" ht="12.75">
      <c r="A592" s="217"/>
      <c r="B592" s="217"/>
      <c r="C592" s="217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</row>
    <row r="593" spans="1:26" ht="12.75">
      <c r="A593" s="217"/>
      <c r="B593" s="217"/>
      <c r="C593" s="217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</row>
    <row r="594" spans="1:26" ht="12.75">
      <c r="A594" s="217"/>
      <c r="B594" s="217"/>
      <c r="C594" s="217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</row>
    <row r="595" spans="1:26" ht="12.75">
      <c r="A595" s="217"/>
      <c r="B595" s="217"/>
      <c r="C595" s="217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</row>
    <row r="596" spans="1:26" ht="12.75">
      <c r="A596" s="217"/>
      <c r="B596" s="217"/>
      <c r="C596" s="217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</row>
    <row r="597" spans="1:26" ht="12.75">
      <c r="A597" s="217"/>
      <c r="B597" s="217"/>
      <c r="C597" s="217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</row>
    <row r="598" spans="1:26" ht="12.75">
      <c r="A598" s="217"/>
      <c r="B598" s="217"/>
      <c r="C598" s="217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</row>
    <row r="599" spans="1:26" ht="12.75">
      <c r="A599" s="217"/>
      <c r="B599" s="217"/>
      <c r="C599" s="217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</row>
    <row r="600" spans="1:26" ht="12.75">
      <c r="A600" s="217"/>
      <c r="B600" s="217"/>
      <c r="C600" s="217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</row>
    <row r="601" spans="1:26" ht="12.75">
      <c r="A601" s="217"/>
      <c r="B601" s="217"/>
      <c r="C601" s="217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</row>
    <row r="602" spans="1:26" ht="12.75">
      <c r="A602" s="217"/>
      <c r="B602" s="217"/>
      <c r="C602" s="217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</row>
    <row r="603" spans="1:26" ht="12.75">
      <c r="A603" s="217"/>
      <c r="B603" s="217"/>
      <c r="C603" s="217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</row>
    <row r="604" spans="1:26" ht="12.75">
      <c r="A604" s="217"/>
      <c r="B604" s="217"/>
      <c r="C604" s="217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</row>
    <row r="605" spans="1:26" ht="12.75">
      <c r="A605" s="217"/>
      <c r="B605" s="217"/>
      <c r="C605" s="217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</row>
    <row r="606" spans="1:26" ht="12.75">
      <c r="A606" s="217"/>
      <c r="B606" s="217"/>
      <c r="C606" s="217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</row>
    <row r="607" spans="1:26" ht="12.75">
      <c r="A607" s="217"/>
      <c r="B607" s="217"/>
      <c r="C607" s="217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</row>
    <row r="608" spans="1:26" ht="12.75">
      <c r="A608" s="217"/>
      <c r="B608" s="217"/>
      <c r="C608" s="217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</row>
    <row r="609" spans="1:26" ht="12.75">
      <c r="A609" s="217"/>
      <c r="B609" s="217"/>
      <c r="C609" s="217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</row>
    <row r="610" spans="1:26" ht="12.75">
      <c r="A610" s="217"/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</row>
    <row r="611" spans="1:26" ht="12.75">
      <c r="A611" s="217"/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</row>
    <row r="612" spans="1:26" ht="12.75">
      <c r="A612" s="217"/>
      <c r="B612" s="217"/>
      <c r="C612" s="217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</row>
    <row r="613" spans="1:26" ht="12.75">
      <c r="A613" s="217"/>
      <c r="B613" s="217"/>
      <c r="C613" s="217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</row>
    <row r="614" spans="1:26" ht="12.75">
      <c r="A614" s="217"/>
      <c r="B614" s="217"/>
      <c r="C614" s="217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</row>
    <row r="615" spans="1:26" ht="12.75">
      <c r="A615" s="217"/>
      <c r="B615" s="217"/>
      <c r="C615" s="217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</row>
    <row r="616" spans="1:26" ht="12.75">
      <c r="A616" s="217"/>
      <c r="B616" s="217"/>
      <c r="C616" s="217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</row>
    <row r="617" spans="1:26" ht="12.75">
      <c r="A617" s="217"/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</row>
    <row r="618" spans="1:26" ht="12.75">
      <c r="A618" s="217"/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</row>
    <row r="619" spans="1:26" ht="12.75">
      <c r="A619" s="217"/>
      <c r="B619" s="217"/>
      <c r="C619" s="217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</row>
    <row r="620" spans="1:26" ht="12.75">
      <c r="A620" s="217"/>
      <c r="B620" s="217"/>
      <c r="C620" s="217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</row>
    <row r="621" spans="1:26" ht="12.75">
      <c r="A621" s="217"/>
      <c r="B621" s="217"/>
      <c r="C621" s="217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</row>
    <row r="622" spans="1:26" ht="12.75">
      <c r="A622" s="217"/>
      <c r="B622" s="217"/>
      <c r="C622" s="217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</row>
    <row r="623" spans="1:26" ht="12.75">
      <c r="A623" s="217"/>
      <c r="B623" s="217"/>
      <c r="C623" s="217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</row>
    <row r="624" spans="1:26" ht="12.75">
      <c r="A624" s="217"/>
      <c r="B624" s="217"/>
      <c r="C624" s="217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</row>
    <row r="625" spans="1:26" ht="12.75">
      <c r="A625" s="217"/>
      <c r="B625" s="217"/>
      <c r="C625" s="217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</row>
    <row r="626" spans="1:26" ht="12.75">
      <c r="A626" s="217"/>
      <c r="B626" s="217"/>
      <c r="C626" s="217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</row>
    <row r="627" spans="1:26" ht="12.75">
      <c r="A627" s="217"/>
      <c r="B627" s="217"/>
      <c r="C627" s="217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</row>
    <row r="628" spans="1:26" ht="12.75">
      <c r="A628" s="217"/>
      <c r="B628" s="217"/>
      <c r="C628" s="217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</row>
    <row r="629" spans="1:26" ht="12.75">
      <c r="A629" s="217"/>
      <c r="B629" s="217"/>
      <c r="C629" s="217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</row>
    <row r="630" spans="1:26" ht="12.75">
      <c r="A630" s="217"/>
      <c r="B630" s="217"/>
      <c r="C630" s="217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</row>
    <row r="631" spans="1:26" ht="12.75">
      <c r="A631" s="217"/>
      <c r="B631" s="217"/>
      <c r="C631" s="217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</row>
    <row r="632" spans="1:26" ht="12.75">
      <c r="A632" s="217"/>
      <c r="B632" s="217"/>
      <c r="C632" s="217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</row>
    <row r="633" spans="1:26" ht="12.75">
      <c r="A633" s="217"/>
      <c r="B633" s="217"/>
      <c r="C633" s="217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</row>
    <row r="634" spans="1:26" ht="12.75">
      <c r="A634" s="217"/>
      <c r="B634" s="217"/>
      <c r="C634" s="217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</row>
    <row r="635" spans="1:26" ht="12.75">
      <c r="A635" s="217"/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</row>
    <row r="636" spans="1:26" ht="12.75">
      <c r="A636" s="217"/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</row>
    <row r="637" spans="1:26" ht="12.75">
      <c r="A637" s="217"/>
      <c r="B637" s="217"/>
      <c r="C637" s="217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</row>
    <row r="638" spans="1:26" ht="12.75">
      <c r="A638" s="217"/>
      <c r="B638" s="217"/>
      <c r="C638" s="217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</row>
    <row r="639" spans="1:26" ht="12.75">
      <c r="A639" s="217"/>
      <c r="B639" s="217"/>
      <c r="C639" s="217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</row>
    <row r="640" spans="1:26" ht="12.75">
      <c r="A640" s="217"/>
      <c r="B640" s="217"/>
      <c r="C640" s="217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</row>
    <row r="641" spans="1:26" ht="12.75">
      <c r="A641" s="217"/>
      <c r="B641" s="217"/>
      <c r="C641" s="217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</row>
    <row r="642" spans="1:26" ht="12.75">
      <c r="A642" s="217"/>
      <c r="B642" s="217"/>
      <c r="C642" s="217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</row>
    <row r="643" spans="1:26" ht="12.75">
      <c r="A643" s="217"/>
      <c r="B643" s="217"/>
      <c r="C643" s="217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</row>
    <row r="644" spans="1:26" ht="12.75">
      <c r="A644" s="217"/>
      <c r="B644" s="217"/>
      <c r="C644" s="217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</row>
    <row r="645" spans="1:26" ht="12.75">
      <c r="A645" s="217"/>
      <c r="B645" s="217"/>
      <c r="C645" s="217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</row>
    <row r="646" spans="1:26" ht="12.75">
      <c r="A646" s="217"/>
      <c r="B646" s="217"/>
      <c r="C646" s="217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</row>
    <row r="647" spans="1:26" ht="12.75">
      <c r="A647" s="217"/>
      <c r="B647" s="217"/>
      <c r="C647" s="217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</row>
    <row r="648" spans="1:26" ht="12.75">
      <c r="A648" s="217"/>
      <c r="B648" s="217"/>
      <c r="C648" s="217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</row>
    <row r="649" spans="1:26" ht="12.75">
      <c r="A649" s="217"/>
      <c r="B649" s="217"/>
      <c r="C649" s="217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</row>
    <row r="650" spans="1:26" ht="12.75">
      <c r="A650" s="217"/>
      <c r="B650" s="217"/>
      <c r="C650" s="217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</row>
    <row r="651" spans="1:26" ht="12.75">
      <c r="A651" s="217"/>
      <c r="B651" s="217"/>
      <c r="C651" s="217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</row>
    <row r="652" spans="1:26" ht="12.75">
      <c r="A652" s="217"/>
      <c r="B652" s="217"/>
      <c r="C652" s="217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</row>
    <row r="653" spans="1:26" ht="12.75">
      <c r="A653" s="217"/>
      <c r="B653" s="217"/>
      <c r="C653" s="217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</row>
    <row r="654" spans="1:26" ht="12.75">
      <c r="A654" s="217"/>
      <c r="B654" s="217"/>
      <c r="C654" s="217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</row>
    <row r="655" spans="1:26" ht="12.75">
      <c r="A655" s="217"/>
      <c r="B655" s="217"/>
      <c r="C655" s="217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</row>
    <row r="656" spans="1:26" ht="12.75">
      <c r="A656" s="217"/>
      <c r="B656" s="217"/>
      <c r="C656" s="217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</row>
    <row r="657" spans="1:26" ht="12.75">
      <c r="A657" s="217"/>
      <c r="B657" s="217"/>
      <c r="C657" s="217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</row>
    <row r="658" spans="1:26" ht="12.75">
      <c r="A658" s="217"/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</row>
    <row r="659" spans="1:26" ht="12.75">
      <c r="A659" s="217"/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</row>
    <row r="660" spans="1:26" ht="12.75">
      <c r="A660" s="217"/>
      <c r="B660" s="217"/>
      <c r="C660" s="217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</row>
    <row r="661" spans="1:26" ht="12.75">
      <c r="A661" s="217"/>
      <c r="B661" s="217"/>
      <c r="C661" s="217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</row>
    <row r="662" spans="1:26" ht="12.75">
      <c r="A662" s="217"/>
      <c r="B662" s="217"/>
      <c r="C662" s="217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</row>
    <row r="663" spans="1:26" ht="12.75">
      <c r="A663" s="217"/>
      <c r="B663" s="217"/>
      <c r="C663" s="217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</row>
    <row r="664" spans="1:26" ht="12.75">
      <c r="A664" s="217"/>
      <c r="B664" s="217"/>
      <c r="C664" s="217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</row>
    <row r="665" spans="1:26" ht="12.75">
      <c r="A665" s="217"/>
      <c r="B665" s="217"/>
      <c r="C665" s="217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</row>
    <row r="666" spans="1:26" ht="12.75">
      <c r="A666" s="217"/>
      <c r="B666" s="217"/>
      <c r="C666" s="217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</row>
    <row r="667" spans="1:26" ht="12.75">
      <c r="A667" s="217"/>
      <c r="B667" s="217"/>
      <c r="C667" s="217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</row>
    <row r="668" spans="1:26" ht="12.75">
      <c r="A668" s="217"/>
      <c r="B668" s="217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</row>
    <row r="669" spans="1:26" ht="12.75">
      <c r="A669" s="217"/>
      <c r="B669" s="217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</row>
    <row r="670" spans="1:26" ht="12.75">
      <c r="A670" s="217"/>
      <c r="B670" s="217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</row>
    <row r="671" spans="1:26" ht="12.75">
      <c r="A671" s="217"/>
      <c r="B671" s="217"/>
      <c r="C671" s="217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</row>
    <row r="672" spans="1:26" ht="12.75">
      <c r="A672" s="217"/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</row>
    <row r="673" spans="1:26" ht="12.75">
      <c r="A673" s="217"/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</row>
    <row r="674" spans="1:26" ht="12.75">
      <c r="A674" s="217"/>
      <c r="B674" s="217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</row>
    <row r="675" spans="1:26" ht="12.75">
      <c r="A675" s="217"/>
      <c r="B675" s="217"/>
      <c r="C675" s="217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</row>
    <row r="676" spans="1:26" ht="12.75">
      <c r="A676" s="217"/>
      <c r="B676" s="217"/>
      <c r="C676" s="217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</row>
    <row r="677" spans="1:26" ht="12.75">
      <c r="A677" s="217"/>
      <c r="B677" s="217"/>
      <c r="C677" s="217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</row>
    <row r="678" spans="1:26" ht="12.75">
      <c r="A678" s="217"/>
      <c r="B678" s="217"/>
      <c r="C678" s="217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</row>
    <row r="679" spans="1:26" ht="12.75">
      <c r="A679" s="217"/>
      <c r="B679" s="217"/>
      <c r="C679" s="217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</row>
    <row r="680" spans="1:26" ht="12.75">
      <c r="A680" s="217"/>
      <c r="B680" s="217"/>
      <c r="C680" s="217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</row>
    <row r="681" spans="1:26" ht="12.75">
      <c r="A681" s="217"/>
      <c r="B681" s="217"/>
      <c r="C681" s="217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</row>
    <row r="682" spans="1:26" ht="12.75">
      <c r="A682" s="217"/>
      <c r="B682" s="217"/>
      <c r="C682" s="217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</row>
    <row r="683" spans="1:26" ht="12.75">
      <c r="A683" s="217"/>
      <c r="B683" s="217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</row>
    <row r="684" spans="1:26" ht="12.75">
      <c r="A684" s="217"/>
      <c r="B684" s="217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</row>
    <row r="685" spans="1:26" ht="12.75">
      <c r="A685" s="217"/>
      <c r="B685" s="217"/>
      <c r="C685" s="217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</row>
    <row r="686" spans="1:26" ht="12.75">
      <c r="A686" s="217"/>
      <c r="B686" s="217"/>
      <c r="C686" s="217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</row>
    <row r="687" spans="1:26" ht="12.75">
      <c r="A687" s="217"/>
      <c r="B687" s="217"/>
      <c r="C687" s="217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</row>
    <row r="688" spans="1:26" ht="12.75">
      <c r="A688" s="217"/>
      <c r="B688" s="217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</row>
    <row r="689" spans="1:26" ht="12.75">
      <c r="A689" s="217"/>
      <c r="B689" s="217"/>
      <c r="C689" s="217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</row>
    <row r="690" spans="1:26" ht="12.75">
      <c r="A690" s="217"/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</row>
    <row r="691" spans="1:26" ht="12.75">
      <c r="A691" s="217"/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</row>
    <row r="692" spans="1:26" ht="12.75">
      <c r="A692" s="217"/>
      <c r="B692" s="217"/>
      <c r="C692" s="217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</row>
    <row r="693" spans="1:26" ht="12.75">
      <c r="A693" s="217"/>
      <c r="B693" s="217"/>
      <c r="C693" s="217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</row>
    <row r="694" spans="1:26" ht="12.75">
      <c r="A694" s="217"/>
      <c r="B694" s="217"/>
      <c r="C694" s="217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</row>
    <row r="695" spans="1:26" ht="12.75">
      <c r="A695" s="217"/>
      <c r="B695" s="217"/>
      <c r="C695" s="217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</row>
    <row r="696" spans="1:26" ht="12.75">
      <c r="A696" s="217"/>
      <c r="B696" s="217"/>
      <c r="C696" s="217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</row>
    <row r="697" spans="1:26" ht="12.75">
      <c r="A697" s="217"/>
      <c r="B697" s="217"/>
      <c r="C697" s="217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</row>
    <row r="698" spans="1:26" ht="12.75">
      <c r="A698" s="217"/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</row>
    <row r="699" spans="1:26" ht="12.75">
      <c r="A699" s="217"/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</row>
    <row r="700" spans="1:26" ht="12.75">
      <c r="A700" s="217"/>
      <c r="B700" s="217"/>
      <c r="C700" s="217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</row>
    <row r="701" spans="1:26" ht="12.75">
      <c r="A701" s="217"/>
      <c r="B701" s="217"/>
      <c r="C701" s="217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</row>
    <row r="702" spans="1:26" ht="12.75">
      <c r="A702" s="217"/>
      <c r="B702" s="217"/>
      <c r="C702" s="217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</row>
    <row r="703" spans="1:26" ht="12.75">
      <c r="A703" s="217"/>
      <c r="B703" s="217"/>
      <c r="C703" s="217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</row>
    <row r="704" spans="1:26" ht="12.75">
      <c r="A704" s="217"/>
      <c r="B704" s="217"/>
      <c r="C704" s="217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</row>
    <row r="705" spans="1:26" ht="12.75">
      <c r="A705" s="217"/>
      <c r="B705" s="217"/>
      <c r="C705" s="217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</row>
    <row r="706" spans="1:26" ht="12.75">
      <c r="A706" s="217"/>
      <c r="B706" s="217"/>
      <c r="C706" s="217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</row>
    <row r="707" spans="1:26" ht="12.75">
      <c r="A707" s="217"/>
      <c r="B707" s="217"/>
      <c r="C707" s="217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</row>
    <row r="708" spans="1:26" ht="12.75">
      <c r="A708" s="217"/>
      <c r="B708" s="217"/>
      <c r="C708" s="217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</row>
    <row r="709" spans="1:26" ht="12.75">
      <c r="A709" s="217"/>
      <c r="B709" s="217"/>
      <c r="C709" s="217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</row>
    <row r="710" spans="1:26" ht="12.75">
      <c r="A710" s="217"/>
      <c r="B710" s="217"/>
      <c r="C710" s="217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</row>
    <row r="711" spans="1:26" ht="12.75">
      <c r="A711" s="217"/>
      <c r="B711" s="217"/>
      <c r="C711" s="217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</row>
    <row r="712" spans="1:26" ht="12.75">
      <c r="A712" s="217"/>
      <c r="B712" s="217"/>
      <c r="C712" s="217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</row>
    <row r="713" spans="1:26" ht="12.75">
      <c r="A713" s="217"/>
      <c r="B713" s="217"/>
      <c r="C713" s="217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</row>
    <row r="714" spans="1:26" ht="12.75">
      <c r="A714" s="217"/>
      <c r="B714" s="217"/>
      <c r="C714" s="217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</row>
    <row r="715" spans="1:26" ht="12.75">
      <c r="A715" s="217"/>
      <c r="B715" s="217"/>
      <c r="C715" s="217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</row>
    <row r="716" spans="1:26" ht="12.75">
      <c r="A716" s="217"/>
      <c r="B716" s="217"/>
      <c r="C716" s="217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</row>
    <row r="717" spans="1:26" ht="12.75">
      <c r="A717" s="21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</row>
    <row r="718" spans="1:26" ht="12.75">
      <c r="A718" s="217"/>
      <c r="B718" s="217"/>
      <c r="C718" s="217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</row>
    <row r="719" spans="1:26" ht="12.75">
      <c r="A719" s="217"/>
      <c r="B719" s="217"/>
      <c r="C719" s="217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</row>
    <row r="720" spans="1:26" ht="12.75">
      <c r="A720" s="217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</row>
    <row r="721" spans="1:26" ht="12.75">
      <c r="A721" s="217"/>
      <c r="B721" s="217"/>
      <c r="C721" s="217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</row>
    <row r="722" spans="1:26" ht="12.75">
      <c r="A722" s="217"/>
      <c r="B722" s="217"/>
      <c r="C722" s="217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</row>
    <row r="723" spans="1:26" ht="12.75">
      <c r="A723" s="217"/>
      <c r="B723" s="217"/>
      <c r="C723" s="217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</row>
    <row r="724" spans="1:26" ht="12.75">
      <c r="A724" s="217"/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</row>
    <row r="725" spans="1:26" ht="12.75">
      <c r="A725" s="217"/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</row>
    <row r="726" spans="1:26" ht="12.75">
      <c r="A726" s="217"/>
      <c r="B726" s="217"/>
      <c r="C726" s="217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</row>
    <row r="727" spans="1:26" ht="12.75">
      <c r="A727" s="217"/>
      <c r="B727" s="217"/>
      <c r="C727" s="217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</row>
    <row r="728" spans="1:26" ht="12.75">
      <c r="A728" s="217"/>
      <c r="B728" s="217"/>
      <c r="C728" s="217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</row>
    <row r="729" spans="1:26" ht="12.75">
      <c r="A729" s="217"/>
      <c r="B729" s="217"/>
      <c r="C729" s="217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</row>
    <row r="730" spans="1:26" ht="12.75">
      <c r="A730" s="217"/>
      <c r="B730" s="217"/>
      <c r="C730" s="217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</row>
    <row r="731" spans="1:26" ht="12.75">
      <c r="A731" s="217"/>
      <c r="B731" s="217"/>
      <c r="C731" s="217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</row>
    <row r="732" spans="1:26" ht="12.75">
      <c r="A732" s="217"/>
      <c r="B732" s="217"/>
      <c r="C732" s="217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</row>
    <row r="733" spans="1:26" ht="12.75">
      <c r="A733" s="217"/>
      <c r="B733" s="217"/>
      <c r="C733" s="217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</row>
    <row r="734" spans="1:26" ht="12.75">
      <c r="A734" s="217"/>
      <c r="B734" s="217"/>
      <c r="C734" s="217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</row>
    <row r="735" spans="1:26" ht="12.75">
      <c r="A735" s="217"/>
      <c r="B735" s="217"/>
      <c r="C735" s="217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</row>
    <row r="736" spans="1:26" ht="12.75">
      <c r="A736" s="217"/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</row>
    <row r="737" spans="1:26" ht="12.75">
      <c r="A737" s="217"/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</row>
    <row r="738" spans="1:26" ht="12.75">
      <c r="A738" s="217"/>
      <c r="B738" s="217"/>
      <c r="C738" s="217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</row>
    <row r="739" spans="1:26" ht="12.75">
      <c r="A739" s="217"/>
      <c r="B739" s="217"/>
      <c r="C739" s="217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</row>
    <row r="740" spans="1:26" ht="12.75">
      <c r="A740" s="217"/>
      <c r="B740" s="217"/>
      <c r="C740" s="217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</row>
    <row r="741" spans="1:26" ht="12.75">
      <c r="A741" s="217"/>
      <c r="B741" s="217"/>
      <c r="C741" s="217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</row>
    <row r="742" spans="1:26" ht="12.75">
      <c r="A742" s="217"/>
      <c r="B742" s="217"/>
      <c r="C742" s="217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</row>
    <row r="743" spans="1:26" ht="12.75">
      <c r="A743" s="217"/>
      <c r="B743" s="217"/>
      <c r="C743" s="217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</row>
    <row r="744" spans="1:26" ht="12.75">
      <c r="A744" s="217"/>
      <c r="B744" s="217"/>
      <c r="C744" s="217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</row>
    <row r="745" spans="1:26" ht="12.75">
      <c r="A745" s="217"/>
      <c r="B745" s="217"/>
      <c r="C745" s="217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</row>
    <row r="746" spans="1:26" ht="12.75">
      <c r="A746" s="217"/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</row>
    <row r="747" spans="1:26" ht="12.75">
      <c r="A747" s="217"/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</row>
    <row r="748" spans="1:26" ht="12.75">
      <c r="A748" s="217"/>
      <c r="B748" s="217"/>
      <c r="C748" s="217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</row>
    <row r="749" spans="1:26" ht="12.75">
      <c r="A749" s="217"/>
      <c r="B749" s="217"/>
      <c r="C749" s="217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</row>
    <row r="750" spans="1:26" ht="12.75">
      <c r="A750" s="217"/>
      <c r="B750" s="217"/>
      <c r="C750" s="217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</row>
    <row r="751" spans="1:26" ht="12.75">
      <c r="A751" s="217"/>
      <c r="B751" s="217"/>
      <c r="C751" s="217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</row>
    <row r="752" spans="1:26" ht="12.75">
      <c r="A752" s="217"/>
      <c r="B752" s="217"/>
      <c r="C752" s="217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</row>
    <row r="753" spans="1:26" ht="12.75">
      <c r="A753" s="217"/>
      <c r="B753" s="217"/>
      <c r="C753" s="217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</row>
    <row r="754" spans="1:26" ht="12.75">
      <c r="A754" s="217"/>
      <c r="B754" s="217"/>
      <c r="C754" s="217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</row>
    <row r="755" spans="1:26" ht="12.75">
      <c r="A755" s="217"/>
      <c r="B755" s="217"/>
      <c r="C755" s="217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</row>
    <row r="756" spans="1:26" ht="12.75">
      <c r="A756" s="217"/>
      <c r="B756" s="217"/>
      <c r="C756" s="217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</row>
    <row r="757" spans="1:26" ht="12.75">
      <c r="A757" s="217"/>
      <c r="B757" s="217"/>
      <c r="C757" s="217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</row>
    <row r="758" spans="1:26" ht="12.75">
      <c r="A758" s="217"/>
      <c r="B758" s="217"/>
      <c r="C758" s="217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</row>
    <row r="759" spans="1:26" ht="12.75">
      <c r="A759" s="217"/>
      <c r="B759" s="217"/>
      <c r="C759" s="217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</row>
    <row r="760" spans="1:26" ht="12.75">
      <c r="A760" s="217"/>
      <c r="B760" s="217"/>
      <c r="C760" s="217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</row>
    <row r="761" spans="1:26" ht="12.75">
      <c r="A761" s="217"/>
      <c r="B761" s="217"/>
      <c r="C761" s="217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</row>
    <row r="762" spans="1:26" ht="12.75">
      <c r="A762" s="217"/>
      <c r="B762" s="217"/>
      <c r="C762" s="217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</row>
    <row r="763" spans="1:26" ht="12.75">
      <c r="A763" s="217"/>
      <c r="B763" s="217"/>
      <c r="C763" s="217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</row>
    <row r="764" spans="1:26" ht="12.75">
      <c r="A764" s="217"/>
      <c r="B764" s="217"/>
      <c r="C764" s="217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</row>
    <row r="765" spans="1:26" ht="12.75">
      <c r="A765" s="217"/>
      <c r="B765" s="217"/>
      <c r="C765" s="217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</row>
    <row r="766" spans="1:26" ht="12.75">
      <c r="A766" s="217"/>
      <c r="B766" s="217"/>
      <c r="C766" s="217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</row>
    <row r="767" spans="1:26" ht="12.75">
      <c r="A767" s="217"/>
      <c r="B767" s="217"/>
      <c r="C767" s="217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</row>
    <row r="768" spans="1:26" ht="12.75">
      <c r="A768" s="217"/>
      <c r="B768" s="217"/>
      <c r="C768" s="217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</row>
    <row r="769" spans="1:26" ht="12.75">
      <c r="A769" s="217"/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</row>
    <row r="770" spans="1:26" ht="12.75">
      <c r="A770" s="217"/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</row>
    <row r="771" spans="1:26" ht="12.75">
      <c r="A771" s="217"/>
      <c r="B771" s="217"/>
      <c r="C771" s="217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</row>
    <row r="772" spans="1:26" ht="12.75">
      <c r="A772" s="217"/>
      <c r="B772" s="217"/>
      <c r="C772" s="217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</row>
    <row r="773" spans="1:26" ht="12.75">
      <c r="A773" s="217"/>
      <c r="B773" s="217"/>
      <c r="C773" s="217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</row>
    <row r="774" spans="1:26" ht="12.75">
      <c r="A774" s="217"/>
      <c r="B774" s="217"/>
      <c r="C774" s="217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</row>
    <row r="775" spans="1:26" ht="12.75">
      <c r="A775" s="217"/>
      <c r="B775" s="217"/>
      <c r="C775" s="217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</row>
    <row r="776" spans="1:26" ht="12.75">
      <c r="A776" s="217"/>
      <c r="B776" s="217"/>
      <c r="C776" s="217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</row>
    <row r="777" spans="1:26" ht="12.75">
      <c r="A777" s="217"/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</row>
    <row r="778" spans="1:26" ht="12.75">
      <c r="A778" s="217"/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</row>
    <row r="779" spans="1:26" ht="12.75">
      <c r="A779" s="217"/>
      <c r="B779" s="217"/>
      <c r="C779" s="217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</row>
    <row r="780" spans="1:26" ht="12.75">
      <c r="A780" s="217"/>
      <c r="B780" s="217"/>
      <c r="C780" s="217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</row>
    <row r="781" spans="1:26" ht="12.75">
      <c r="A781" s="217"/>
      <c r="B781" s="217"/>
      <c r="C781" s="217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</row>
    <row r="782" spans="1:26" ht="12.75">
      <c r="A782" s="217"/>
      <c r="B782" s="217"/>
      <c r="C782" s="217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</row>
    <row r="783" spans="1:26" ht="12.75">
      <c r="A783" s="217"/>
      <c r="B783" s="217"/>
      <c r="C783" s="217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</row>
    <row r="784" spans="1:26" ht="12.75">
      <c r="A784" s="217"/>
      <c r="B784" s="217"/>
      <c r="C784" s="217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</row>
    <row r="785" spans="1:26" ht="12.75">
      <c r="A785" s="217"/>
      <c r="B785" s="217"/>
      <c r="C785" s="217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</row>
    <row r="786" spans="1:26" ht="12.75">
      <c r="A786" s="217"/>
      <c r="B786" s="217"/>
      <c r="C786" s="217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</row>
    <row r="787" spans="1:26" ht="12.75">
      <c r="A787" s="217"/>
      <c r="B787" s="217"/>
      <c r="C787" s="217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</row>
    <row r="788" spans="1:26" ht="12.75">
      <c r="A788" s="217"/>
      <c r="B788" s="217"/>
      <c r="C788" s="217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</row>
    <row r="789" spans="1:26" ht="12.75">
      <c r="A789" s="217"/>
      <c r="B789" s="217"/>
      <c r="C789" s="217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</row>
    <row r="790" spans="1:26" ht="12.75">
      <c r="A790" s="217"/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</row>
    <row r="791" spans="1:26" ht="12.75">
      <c r="A791" s="217"/>
      <c r="B791" s="217"/>
      <c r="C791" s="217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</row>
    <row r="792" spans="1:26" ht="12.75">
      <c r="A792" s="217"/>
      <c r="B792" s="217"/>
      <c r="C792" s="217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</row>
    <row r="793" spans="1:26" ht="12.75">
      <c r="A793" s="217"/>
      <c r="B793" s="217"/>
      <c r="C793" s="217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</row>
    <row r="794" spans="1:26" ht="12.75">
      <c r="A794" s="217"/>
      <c r="B794" s="217"/>
      <c r="C794" s="217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</row>
    <row r="795" spans="1:26" ht="12.75">
      <c r="A795" s="217"/>
      <c r="B795" s="217"/>
      <c r="C795" s="217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</row>
    <row r="796" spans="1:26" ht="12.75">
      <c r="A796" s="217"/>
      <c r="B796" s="217"/>
      <c r="C796" s="217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</row>
    <row r="797" spans="1:26" ht="12.75">
      <c r="A797" s="217"/>
      <c r="B797" s="217"/>
      <c r="C797" s="217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</row>
    <row r="798" spans="1:26" ht="12.75">
      <c r="A798" s="217"/>
      <c r="B798" s="217"/>
      <c r="C798" s="217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</row>
    <row r="799" spans="1:26" ht="12.75">
      <c r="A799" s="217"/>
      <c r="B799" s="217"/>
      <c r="C799" s="217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</row>
    <row r="800" spans="1:26" ht="12.75">
      <c r="A800" s="217"/>
      <c r="B800" s="217"/>
      <c r="C800" s="217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</row>
    <row r="801" spans="1:26" ht="12.75">
      <c r="A801" s="217"/>
      <c r="B801" s="217"/>
      <c r="C801" s="217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</row>
    <row r="802" spans="1:26" ht="12.75">
      <c r="A802" s="217"/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</row>
    <row r="803" spans="1:26" ht="12.75">
      <c r="A803" s="217"/>
      <c r="B803" s="217"/>
      <c r="C803" s="217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</row>
    <row r="804" spans="1:26" ht="12.75">
      <c r="A804" s="217"/>
      <c r="B804" s="217"/>
      <c r="C804" s="217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</row>
    <row r="805" spans="1:26" ht="12.75">
      <c r="A805" s="217"/>
      <c r="B805" s="217"/>
      <c r="C805" s="217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</row>
    <row r="806" spans="1:26" ht="12.75">
      <c r="A806" s="217"/>
      <c r="B806" s="217"/>
      <c r="C806" s="217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</row>
    <row r="807" spans="1:26" ht="12.75">
      <c r="A807" s="217"/>
      <c r="B807" s="217"/>
      <c r="C807" s="217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</row>
    <row r="808" spans="1:26" ht="12.75">
      <c r="A808" s="217"/>
      <c r="B808" s="217"/>
      <c r="C808" s="217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</row>
    <row r="809" spans="1:26" ht="12.75">
      <c r="A809" s="217"/>
      <c r="B809" s="217"/>
      <c r="C809" s="217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</row>
    <row r="810" spans="1:26" ht="12.75">
      <c r="A810" s="217"/>
      <c r="B810" s="217"/>
      <c r="C810" s="217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</row>
    <row r="811" spans="1:26" ht="12.75">
      <c r="A811" s="217"/>
      <c r="B811" s="217"/>
      <c r="C811" s="217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</row>
    <row r="812" spans="1:26" ht="12.75">
      <c r="A812" s="217"/>
      <c r="B812" s="217"/>
      <c r="C812" s="217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</row>
    <row r="813" spans="1:26" ht="12.75">
      <c r="A813" s="217"/>
      <c r="B813" s="217"/>
      <c r="C813" s="217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</row>
    <row r="814" spans="1:26" ht="12.75">
      <c r="A814" s="217"/>
      <c r="B814" s="217"/>
      <c r="C814" s="217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</row>
    <row r="815" spans="1:26" ht="12.75">
      <c r="A815" s="217"/>
      <c r="B815" s="217"/>
      <c r="C815" s="217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</row>
    <row r="816" spans="1:26" ht="12.75">
      <c r="A816" s="217"/>
      <c r="B816" s="217"/>
      <c r="C816" s="217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</row>
    <row r="817" spans="1:26" ht="12.75">
      <c r="A817" s="217"/>
      <c r="B817" s="217"/>
      <c r="C817" s="217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</row>
    <row r="818" spans="1:26" ht="12.75">
      <c r="A818" s="217"/>
      <c r="B818" s="217"/>
      <c r="C818" s="217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</row>
    <row r="819" spans="1:26" ht="12.75">
      <c r="A819" s="217"/>
      <c r="B819" s="217"/>
      <c r="C819" s="217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</row>
    <row r="820" spans="1:26" ht="12.75">
      <c r="A820" s="217"/>
      <c r="B820" s="217"/>
      <c r="C820" s="217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</row>
    <row r="821" spans="1:26" ht="12.75">
      <c r="A821" s="217"/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</row>
    <row r="822" spans="1:26" ht="12.75">
      <c r="A822" s="217"/>
      <c r="B822" s="217"/>
      <c r="C822" s="217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</row>
    <row r="823" spans="1:26" ht="12.75">
      <c r="A823" s="217"/>
      <c r="B823" s="217"/>
      <c r="C823" s="217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</row>
    <row r="824" spans="1:26" ht="12.75">
      <c r="A824" s="217"/>
      <c r="B824" s="217"/>
      <c r="C824" s="217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</row>
    <row r="825" spans="1:26" ht="12.75">
      <c r="A825" s="217"/>
      <c r="B825" s="217"/>
      <c r="C825" s="217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</row>
    <row r="826" spans="1:26" ht="12.75">
      <c r="A826" s="217"/>
      <c r="B826" s="217"/>
      <c r="C826" s="217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</row>
    <row r="827" spans="1:26" ht="12.75">
      <c r="A827" s="217"/>
      <c r="B827" s="217"/>
      <c r="C827" s="217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</row>
    <row r="828" spans="1:26" ht="12.75">
      <c r="A828" s="217"/>
      <c r="B828" s="217"/>
      <c r="C828" s="217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</row>
    <row r="829" spans="1:26" ht="12.75">
      <c r="A829" s="217"/>
      <c r="B829" s="217"/>
      <c r="C829" s="217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</row>
    <row r="830" spans="1:26" ht="12.75">
      <c r="A830" s="217"/>
      <c r="B830" s="217"/>
      <c r="C830" s="217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</row>
    <row r="831" spans="1:26" ht="12.75">
      <c r="A831" s="217"/>
      <c r="B831" s="217"/>
      <c r="C831" s="217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</row>
    <row r="832" spans="1:26" ht="12.75">
      <c r="A832" s="217"/>
      <c r="B832" s="217"/>
      <c r="C832" s="217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</row>
    <row r="833" spans="1:26" ht="12.75">
      <c r="A833" s="217"/>
      <c r="B833" s="217"/>
      <c r="C833" s="217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</row>
    <row r="834" spans="1:26" ht="12.75">
      <c r="A834" s="217"/>
      <c r="B834" s="217"/>
      <c r="C834" s="217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</row>
    <row r="835" spans="1:26" ht="12.75">
      <c r="A835" s="217"/>
      <c r="B835" s="217"/>
      <c r="C835" s="217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</row>
    <row r="836" spans="1:26" ht="12.75">
      <c r="A836" s="217"/>
      <c r="B836" s="217"/>
      <c r="C836" s="217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</row>
    <row r="837" spans="1:26" ht="12.75">
      <c r="A837" s="217"/>
      <c r="B837" s="217"/>
      <c r="C837" s="217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</row>
    <row r="838" spans="1:26" ht="12.75">
      <c r="A838" s="217"/>
      <c r="B838" s="217"/>
      <c r="C838" s="217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</row>
    <row r="839" spans="1:26" ht="12.75">
      <c r="A839" s="217"/>
      <c r="B839" s="217"/>
      <c r="C839" s="217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</row>
    <row r="840" spans="1:26" ht="12.75">
      <c r="A840" s="217"/>
      <c r="B840" s="217"/>
      <c r="C840" s="217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</row>
    <row r="841" spans="1:26" ht="12.75">
      <c r="A841" s="217"/>
      <c r="B841" s="217"/>
      <c r="C841" s="217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</row>
    <row r="842" spans="1:26" ht="12.75">
      <c r="A842" s="217"/>
      <c r="B842" s="217"/>
      <c r="C842" s="217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</row>
    <row r="843" spans="1:26" ht="12.75">
      <c r="A843" s="217"/>
      <c r="B843" s="217"/>
      <c r="C843" s="217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</row>
    <row r="844" spans="1:26" ht="12.75">
      <c r="A844" s="217"/>
      <c r="B844" s="217"/>
      <c r="C844" s="217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</row>
    <row r="845" spans="1:26" ht="12.75">
      <c r="A845" s="217"/>
      <c r="B845" s="217"/>
      <c r="C845" s="217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</row>
    <row r="846" spans="1:26" ht="12.75">
      <c r="A846" s="217"/>
      <c r="B846" s="217"/>
      <c r="C846" s="217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</row>
    <row r="847" spans="1:26" ht="12.75">
      <c r="A847" s="217"/>
      <c r="B847" s="217"/>
      <c r="C847" s="217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</row>
    <row r="848" spans="1:26" ht="12.75">
      <c r="A848" s="217"/>
      <c r="B848" s="217"/>
      <c r="C848" s="217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</row>
    <row r="849" spans="1:26" ht="12.75">
      <c r="A849" s="217"/>
      <c r="B849" s="217"/>
      <c r="C849" s="217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</row>
    <row r="850" spans="1:26" ht="12.75">
      <c r="A850" s="217"/>
      <c r="B850" s="217"/>
      <c r="C850" s="217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</row>
    <row r="851" spans="1:26" ht="12.75">
      <c r="A851" s="217"/>
      <c r="B851" s="217"/>
      <c r="C851" s="217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</row>
    <row r="852" spans="1:26" ht="12.75">
      <c r="A852" s="217"/>
      <c r="B852" s="217"/>
      <c r="C852" s="217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</row>
    <row r="853" spans="1:26" ht="12.75">
      <c r="A853" s="217"/>
      <c r="B853" s="217"/>
      <c r="C853" s="217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</row>
    <row r="854" spans="1:26" ht="12.75">
      <c r="A854" s="217"/>
      <c r="B854" s="217"/>
      <c r="C854" s="217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</row>
    <row r="855" spans="1:26" ht="12.75">
      <c r="A855" s="217"/>
      <c r="B855" s="217"/>
      <c r="C855" s="217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</row>
    <row r="856" spans="1:26" ht="12.75">
      <c r="A856" s="217"/>
      <c r="B856" s="217"/>
      <c r="C856" s="217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</row>
    <row r="857" spans="1:26" ht="12.75">
      <c r="A857" s="217"/>
      <c r="B857" s="217"/>
      <c r="C857" s="217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</row>
    <row r="858" spans="1:26" ht="12.75">
      <c r="A858" s="217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</row>
    <row r="859" spans="1:26" ht="12.75">
      <c r="A859" s="217"/>
      <c r="B859" s="217"/>
      <c r="C859" s="217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</row>
    <row r="860" spans="1:26" ht="12.75">
      <c r="A860" s="217"/>
      <c r="B860" s="217"/>
      <c r="C860" s="217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</row>
    <row r="861" spans="1:26" ht="12.75">
      <c r="A861" s="217"/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</row>
    <row r="862" spans="1:26" ht="12.75">
      <c r="A862" s="217"/>
      <c r="B862" s="217"/>
      <c r="C862" s="217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</row>
    <row r="863" spans="1:26" ht="12.75">
      <c r="A863" s="217"/>
      <c r="B863" s="217"/>
      <c r="C863" s="217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</row>
    <row r="864" spans="1:26" ht="12.75">
      <c r="A864" s="217"/>
      <c r="B864" s="217"/>
      <c r="C864" s="217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</row>
    <row r="865" spans="1:26" ht="12.75">
      <c r="A865" s="217"/>
      <c r="B865" s="217"/>
      <c r="C865" s="217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</row>
    <row r="866" spans="1:26" ht="12.75">
      <c r="A866" s="217"/>
      <c r="B866" s="217"/>
      <c r="C866" s="217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</row>
    <row r="867" spans="1:26" ht="12.75">
      <c r="A867" s="217"/>
      <c r="B867" s="217"/>
      <c r="C867" s="217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</row>
    <row r="868" spans="1:26" ht="12.75">
      <c r="A868" s="217"/>
      <c r="B868" s="217"/>
      <c r="C868" s="217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</row>
    <row r="869" spans="1:26" ht="12.75">
      <c r="A869" s="217"/>
      <c r="B869" s="217"/>
      <c r="C869" s="217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</row>
    <row r="870" spans="1:26" ht="12.75">
      <c r="A870" s="217"/>
      <c r="B870" s="217"/>
      <c r="C870" s="217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</row>
    <row r="871" spans="1:26" ht="12.75">
      <c r="A871" s="217"/>
      <c r="B871" s="217"/>
      <c r="C871" s="217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</row>
    <row r="872" spans="1:26" ht="12.75">
      <c r="A872" s="217"/>
      <c r="B872" s="217"/>
      <c r="C872" s="217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</row>
    <row r="873" spans="1:26" ht="12.75">
      <c r="A873" s="217"/>
      <c r="B873" s="217"/>
      <c r="C873" s="217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</row>
    <row r="874" spans="1:26" ht="12.75">
      <c r="A874" s="217"/>
      <c r="B874" s="217"/>
      <c r="C874" s="217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</row>
    <row r="875" spans="1:26" ht="12.75">
      <c r="A875" s="217"/>
      <c r="B875" s="217"/>
      <c r="C875" s="217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</row>
    <row r="876" spans="1:26" ht="12.75">
      <c r="A876" s="217"/>
      <c r="B876" s="217"/>
      <c r="C876" s="217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</row>
    <row r="877" spans="1:26" ht="12.75">
      <c r="A877" s="217"/>
      <c r="B877" s="217"/>
      <c r="C877" s="217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</row>
    <row r="878" spans="1:26" ht="12.75">
      <c r="A878" s="217"/>
      <c r="B878" s="217"/>
      <c r="C878" s="217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</row>
    <row r="879" spans="1:26" ht="12.75">
      <c r="A879" s="217"/>
      <c r="B879" s="217"/>
      <c r="C879" s="217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</row>
    <row r="880" spans="1:26" ht="12.75">
      <c r="A880" s="217"/>
      <c r="B880" s="217"/>
      <c r="C880" s="217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</row>
    <row r="881" spans="1:26" ht="12.75">
      <c r="A881" s="217"/>
      <c r="B881" s="217"/>
      <c r="C881" s="217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</row>
    <row r="882" spans="1:26" ht="12.75">
      <c r="A882" s="217"/>
      <c r="B882" s="217"/>
      <c r="C882" s="217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</row>
    <row r="883" spans="1:26" ht="12.75">
      <c r="A883" s="217"/>
      <c r="B883" s="217"/>
      <c r="C883" s="217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</row>
    <row r="884" spans="1:26" ht="12.75">
      <c r="A884" s="217"/>
      <c r="B884" s="217"/>
      <c r="C884" s="217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</row>
    <row r="885" spans="1:26" ht="12.75">
      <c r="A885" s="217"/>
      <c r="B885" s="217"/>
      <c r="C885" s="217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</row>
    <row r="886" spans="1:26" ht="12.75">
      <c r="A886" s="217"/>
      <c r="B886" s="217"/>
      <c r="C886" s="217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</row>
    <row r="887" spans="1:26" ht="12.75">
      <c r="A887" s="217"/>
      <c r="B887" s="217"/>
      <c r="C887" s="217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</row>
    <row r="888" spans="1:26" ht="12.75">
      <c r="A888" s="217"/>
      <c r="B888" s="217"/>
      <c r="C888" s="217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</row>
    <row r="889" spans="1:26" ht="12.75">
      <c r="A889" s="217"/>
      <c r="B889" s="217"/>
      <c r="C889" s="217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</row>
    <row r="890" spans="1:26" ht="12.75">
      <c r="A890" s="217"/>
      <c r="B890" s="217"/>
      <c r="C890" s="217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</row>
    <row r="891" spans="1:26" ht="12.75">
      <c r="A891" s="217"/>
      <c r="B891" s="217"/>
      <c r="C891" s="217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</row>
    <row r="892" spans="1:26" ht="12.75">
      <c r="A892" s="217"/>
      <c r="B892" s="217"/>
      <c r="C892" s="217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</row>
    <row r="893" spans="1:26" ht="12.75">
      <c r="A893" s="217"/>
      <c r="B893" s="217"/>
      <c r="C893" s="217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</row>
    <row r="894" spans="1:26" ht="12.75">
      <c r="A894" s="217"/>
      <c r="B894" s="217"/>
      <c r="C894" s="217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</row>
    <row r="895" spans="1:26" ht="12.75">
      <c r="A895" s="217"/>
      <c r="B895" s="217"/>
      <c r="C895" s="217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</row>
    <row r="896" spans="1:26" ht="12.75">
      <c r="A896" s="217"/>
      <c r="B896" s="217"/>
      <c r="C896" s="217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</row>
    <row r="897" spans="1:26" ht="12.75">
      <c r="A897" s="217"/>
      <c r="B897" s="217"/>
      <c r="C897" s="217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</row>
    <row r="898" spans="1:26" ht="12.75">
      <c r="A898" s="217"/>
      <c r="B898" s="217"/>
      <c r="C898" s="217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</row>
    <row r="899" spans="1:26" ht="12.75">
      <c r="A899" s="217"/>
      <c r="B899" s="217"/>
      <c r="C899" s="217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</row>
    <row r="900" spans="1:26" ht="12.75">
      <c r="A900" s="217"/>
      <c r="B900" s="217"/>
      <c r="C900" s="217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</row>
    <row r="901" spans="1:26" ht="12.75">
      <c r="A901" s="217"/>
      <c r="B901" s="217"/>
      <c r="C901" s="217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</row>
    <row r="902" spans="1:26" ht="12.75">
      <c r="A902" s="217"/>
      <c r="B902" s="217"/>
      <c r="C902" s="217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</row>
    <row r="903" spans="1:26" ht="12.75">
      <c r="A903" s="217"/>
      <c r="B903" s="217"/>
      <c r="C903" s="217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</row>
    <row r="904" spans="1:26" ht="12.75">
      <c r="A904" s="217"/>
      <c r="B904" s="217"/>
      <c r="C904" s="217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</row>
    <row r="905" spans="1:26" ht="12.75">
      <c r="A905" s="217"/>
      <c r="B905" s="217"/>
      <c r="C905" s="217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</row>
    <row r="906" spans="1:26" ht="12.75">
      <c r="A906" s="217"/>
      <c r="B906" s="217"/>
      <c r="C906" s="217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</row>
    <row r="907" spans="1:26" ht="12.75">
      <c r="A907" s="217"/>
      <c r="B907" s="217"/>
      <c r="C907" s="217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</row>
    <row r="908" spans="1:26" ht="12.75">
      <c r="A908" s="217"/>
      <c r="B908" s="217"/>
      <c r="C908" s="217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</row>
    <row r="909" spans="1:26" ht="12.75">
      <c r="A909" s="217"/>
      <c r="B909" s="217"/>
      <c r="C909" s="217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</row>
    <row r="910" spans="1:26" ht="12.75">
      <c r="A910" s="217"/>
      <c r="B910" s="217"/>
      <c r="C910" s="217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</row>
    <row r="911" spans="1:26" ht="12.75">
      <c r="A911" s="217"/>
      <c r="B911" s="217"/>
      <c r="C911" s="217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</row>
    <row r="912" spans="1:26" ht="12.75">
      <c r="A912" s="217"/>
      <c r="B912" s="217"/>
      <c r="C912" s="217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</row>
    <row r="913" spans="1:26" ht="12.75">
      <c r="A913" s="217"/>
      <c r="B913" s="217"/>
      <c r="C913" s="217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</row>
    <row r="914" spans="1:26" ht="12.75">
      <c r="A914" s="217"/>
      <c r="B914" s="217"/>
      <c r="C914" s="217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</row>
    <row r="915" spans="1:26" ht="12.75">
      <c r="A915" s="217"/>
      <c r="B915" s="217"/>
      <c r="C915" s="217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</row>
    <row r="916" spans="1:26" ht="12.75">
      <c r="A916" s="217"/>
      <c r="B916" s="217"/>
      <c r="C916" s="217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</row>
    <row r="917" spans="1:26" ht="12.75">
      <c r="A917" s="217"/>
      <c r="B917" s="217"/>
      <c r="C917" s="217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</row>
    <row r="918" spans="1:26" ht="12.75">
      <c r="A918" s="217"/>
      <c r="B918" s="217"/>
      <c r="C918" s="217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</row>
    <row r="919" spans="1:26" ht="12.75">
      <c r="A919" s="217"/>
      <c r="B919" s="217"/>
      <c r="C919" s="217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</row>
    <row r="920" spans="1:26" ht="12.75">
      <c r="A920" s="217"/>
      <c r="B920" s="217"/>
      <c r="C920" s="217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</row>
    <row r="921" spans="1:26" ht="12.75">
      <c r="A921" s="217"/>
      <c r="B921" s="217"/>
      <c r="C921" s="217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</row>
    <row r="922" spans="1:26" ht="12.75">
      <c r="A922" s="217"/>
      <c r="B922" s="217"/>
      <c r="C922" s="217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</row>
    <row r="923" spans="1:26" ht="12.75">
      <c r="A923" s="217"/>
      <c r="B923" s="217"/>
      <c r="C923" s="217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</row>
    <row r="924" spans="1:26" ht="12.75">
      <c r="A924" s="217"/>
      <c r="B924" s="217"/>
      <c r="C924" s="217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</row>
    <row r="925" spans="1:26" ht="12.75">
      <c r="A925" s="217"/>
      <c r="B925" s="217"/>
      <c r="C925" s="217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</row>
    <row r="926" spans="1:26" ht="12.75">
      <c r="A926" s="217"/>
      <c r="B926" s="217"/>
      <c r="C926" s="217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</row>
    <row r="927" spans="1:26" ht="12.75">
      <c r="A927" s="217"/>
      <c r="B927" s="217"/>
      <c r="C927" s="217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</row>
    <row r="928" spans="1:26" ht="12.75">
      <c r="A928" s="217"/>
      <c r="B928" s="217"/>
      <c r="C928" s="217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</row>
    <row r="929" spans="1:26" ht="12.75">
      <c r="A929" s="217"/>
      <c r="B929" s="217"/>
      <c r="C929" s="217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</row>
    <row r="930" spans="1:26" ht="12.75">
      <c r="A930" s="217"/>
      <c r="B930" s="217"/>
      <c r="C930" s="217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</row>
    <row r="931" spans="1:26" ht="12.75">
      <c r="A931" s="217"/>
      <c r="B931" s="217"/>
      <c r="C931" s="217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</row>
    <row r="932" spans="1:26" ht="12.75">
      <c r="A932" s="217"/>
      <c r="B932" s="217"/>
      <c r="C932" s="217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</row>
    <row r="933" spans="1:26" ht="12.75">
      <c r="A933" s="217"/>
      <c r="B933" s="217"/>
      <c r="C933" s="217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</row>
    <row r="934" spans="1:26" ht="12.75">
      <c r="A934" s="217"/>
      <c r="B934" s="217"/>
      <c r="C934" s="217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</row>
    <row r="935" spans="1:26" ht="12.75">
      <c r="A935" s="217"/>
      <c r="B935" s="217"/>
      <c r="C935" s="217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</row>
    <row r="936" spans="1:26" ht="12.75">
      <c r="A936" s="217"/>
      <c r="B936" s="217"/>
      <c r="C936" s="217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</row>
    <row r="937" spans="1:26" ht="12.75">
      <c r="A937" s="217"/>
      <c r="B937" s="217"/>
      <c r="C937" s="217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</row>
    <row r="938" spans="1:26" ht="12.75">
      <c r="A938" s="217"/>
      <c r="B938" s="217"/>
      <c r="C938" s="217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</row>
    <row r="939" spans="1:26" ht="12.75">
      <c r="A939" s="217"/>
      <c r="B939" s="217"/>
      <c r="C939" s="217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</row>
    <row r="940" spans="1:26" ht="12.75">
      <c r="A940" s="217"/>
      <c r="B940" s="217"/>
      <c r="C940" s="217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</row>
    <row r="941" spans="1:26" ht="12.75">
      <c r="A941" s="217"/>
      <c r="B941" s="217"/>
      <c r="C941" s="217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</row>
    <row r="942" spans="1:26" ht="12.75">
      <c r="A942" s="217"/>
      <c r="B942" s="217"/>
      <c r="C942" s="217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</row>
    <row r="943" spans="1:26" ht="12.75">
      <c r="A943" s="217"/>
      <c r="B943" s="217"/>
      <c r="C943" s="217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</row>
    <row r="944" spans="1:26" ht="12.75">
      <c r="A944" s="217"/>
      <c r="B944" s="217"/>
      <c r="C944" s="217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</row>
    <row r="945" spans="1:26" ht="12.75">
      <c r="A945" s="217"/>
      <c r="B945" s="217"/>
      <c r="C945" s="217"/>
      <c r="D945" s="217"/>
      <c r="E945" s="217"/>
      <c r="F945" s="217"/>
      <c r="G945" s="217"/>
      <c r="H945" s="217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</row>
    <row r="946" spans="1:26" ht="12.75">
      <c r="A946" s="217"/>
      <c r="B946" s="217"/>
      <c r="C946" s="217"/>
      <c r="D946" s="217"/>
      <c r="E946" s="217"/>
      <c r="F946" s="217"/>
      <c r="G946" s="217"/>
      <c r="H946" s="217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</row>
    <row r="947" spans="1:26" ht="12.75">
      <c r="A947" s="217"/>
      <c r="B947" s="217"/>
      <c r="C947" s="217"/>
      <c r="D947" s="217"/>
      <c r="E947" s="217"/>
      <c r="F947" s="217"/>
      <c r="G947" s="217"/>
      <c r="H947" s="217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</row>
    <row r="948" spans="1:26" ht="12.75">
      <c r="A948" s="217"/>
      <c r="B948" s="217"/>
      <c r="C948" s="217"/>
      <c r="D948" s="217"/>
      <c r="E948" s="217"/>
      <c r="F948" s="217"/>
      <c r="G948" s="217"/>
      <c r="H948" s="217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</row>
    <row r="949" spans="1:26" ht="12.75">
      <c r="A949" s="217"/>
      <c r="B949" s="217"/>
      <c r="C949" s="217"/>
      <c r="D949" s="217"/>
      <c r="E949" s="217"/>
      <c r="F949" s="217"/>
      <c r="G949" s="217"/>
      <c r="H949" s="217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</row>
    <row r="950" spans="1:26" ht="12.75">
      <c r="A950" s="217"/>
      <c r="B950" s="217"/>
      <c r="C950" s="217"/>
      <c r="D950" s="217"/>
      <c r="E950" s="217"/>
      <c r="F950" s="217"/>
      <c r="G950" s="217"/>
      <c r="H950" s="217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</row>
    <row r="951" spans="1:26" ht="12.75">
      <c r="A951" s="217"/>
      <c r="B951" s="217"/>
      <c r="C951" s="217"/>
      <c r="D951" s="217"/>
      <c r="E951" s="217"/>
      <c r="F951" s="217"/>
      <c r="G951" s="217"/>
      <c r="H951" s="217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</row>
    <row r="952" spans="1:26" ht="12.75">
      <c r="A952" s="217"/>
      <c r="B952" s="217"/>
      <c r="C952" s="217"/>
      <c r="D952" s="217"/>
      <c r="E952" s="217"/>
      <c r="F952" s="217"/>
      <c r="G952" s="217"/>
      <c r="H952" s="217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</row>
    <row r="953" spans="1:26" ht="12.75">
      <c r="A953" s="217"/>
      <c r="B953" s="217"/>
      <c r="C953" s="217"/>
      <c r="D953" s="217"/>
      <c r="E953" s="217"/>
      <c r="F953" s="217"/>
      <c r="G953" s="217"/>
      <c r="H953" s="217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</row>
    <row r="954" spans="1:26" ht="12.75">
      <c r="A954" s="217"/>
      <c r="B954" s="217"/>
      <c r="C954" s="217"/>
      <c r="D954" s="217"/>
      <c r="E954" s="217"/>
      <c r="F954" s="217"/>
      <c r="G954" s="217"/>
      <c r="H954" s="217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</row>
    <row r="955" spans="1:26" ht="12.75">
      <c r="A955" s="217"/>
      <c r="B955" s="217"/>
      <c r="C955" s="217"/>
      <c r="D955" s="217"/>
      <c r="E955" s="217"/>
      <c r="F955" s="217"/>
      <c r="G955" s="217"/>
      <c r="H955" s="217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</row>
    <row r="956" spans="1:26" ht="12.75">
      <c r="A956" s="217"/>
      <c r="B956" s="217"/>
      <c r="C956" s="217"/>
      <c r="D956" s="217"/>
      <c r="E956" s="217"/>
      <c r="F956" s="217"/>
      <c r="G956" s="217"/>
      <c r="H956" s="217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</row>
    <row r="957" spans="1:26" ht="12.75">
      <c r="A957" s="217"/>
      <c r="B957" s="217"/>
      <c r="C957" s="217"/>
      <c r="D957" s="217"/>
      <c r="E957" s="217"/>
      <c r="F957" s="217"/>
      <c r="G957" s="217"/>
      <c r="H957" s="217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</row>
    <row r="958" spans="1:26" ht="12.75">
      <c r="A958" s="217"/>
      <c r="B958" s="217"/>
      <c r="C958" s="217"/>
      <c r="D958" s="217"/>
      <c r="E958" s="217"/>
      <c r="F958" s="217"/>
      <c r="G958" s="217"/>
      <c r="H958" s="217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</row>
    <row r="959" spans="1:26" ht="12.75">
      <c r="A959" s="217"/>
      <c r="B959" s="217"/>
      <c r="C959" s="217"/>
      <c r="D959" s="217"/>
      <c r="E959" s="217"/>
      <c r="F959" s="217"/>
      <c r="G959" s="217"/>
      <c r="H959" s="217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</row>
    <row r="960" spans="1:26" ht="12.75">
      <c r="A960" s="217"/>
      <c r="B960" s="217"/>
      <c r="C960" s="217"/>
      <c r="D960" s="217"/>
      <c r="E960" s="217"/>
      <c r="F960" s="217"/>
      <c r="G960" s="217"/>
      <c r="H960" s="217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</row>
    <row r="961" spans="1:26" ht="12.75">
      <c r="A961" s="217"/>
      <c r="B961" s="217"/>
      <c r="C961" s="217"/>
      <c r="D961" s="217"/>
      <c r="E961" s="217"/>
      <c r="F961" s="217"/>
      <c r="G961" s="217"/>
      <c r="H961" s="217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</row>
    <row r="962" spans="1:26" ht="12.75">
      <c r="A962" s="217"/>
      <c r="B962" s="217"/>
      <c r="C962" s="217"/>
      <c r="D962" s="217"/>
      <c r="E962" s="217"/>
      <c r="F962" s="217"/>
      <c r="G962" s="217"/>
      <c r="H962" s="217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</row>
    <row r="963" spans="1:26" ht="12.75">
      <c r="A963" s="217"/>
      <c r="B963" s="217"/>
      <c r="C963" s="217"/>
      <c r="D963" s="217"/>
      <c r="E963" s="217"/>
      <c r="F963" s="217"/>
      <c r="G963" s="217"/>
      <c r="H963" s="217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</row>
    <row r="964" spans="1:26" ht="12.75">
      <c r="A964" s="217"/>
      <c r="B964" s="217"/>
      <c r="C964" s="217"/>
      <c r="D964" s="217"/>
      <c r="E964" s="217"/>
      <c r="F964" s="217"/>
      <c r="G964" s="217"/>
      <c r="H964" s="217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</row>
    <row r="965" spans="1:26" ht="12.75">
      <c r="A965" s="217"/>
      <c r="B965" s="217"/>
      <c r="C965" s="217"/>
      <c r="D965" s="217"/>
      <c r="E965" s="217"/>
      <c r="F965" s="217"/>
      <c r="G965" s="217"/>
      <c r="H965" s="217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</row>
    <row r="966" spans="1:26" ht="12.75">
      <c r="A966" s="217"/>
      <c r="B966" s="217"/>
      <c r="C966" s="217"/>
      <c r="D966" s="217"/>
      <c r="E966" s="217"/>
      <c r="F966" s="217"/>
      <c r="G966" s="217"/>
      <c r="H966" s="217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</row>
    <row r="967" spans="1:26" ht="12.75">
      <c r="A967" s="217"/>
      <c r="B967" s="217"/>
      <c r="C967" s="217"/>
      <c r="D967" s="217"/>
      <c r="E967" s="217"/>
      <c r="F967" s="217"/>
      <c r="G967" s="217"/>
      <c r="H967" s="217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</row>
    <row r="968" spans="1:26" ht="12.75">
      <c r="A968" s="217"/>
      <c r="B968" s="217"/>
      <c r="C968" s="217"/>
      <c r="D968" s="217"/>
      <c r="E968" s="217"/>
      <c r="F968" s="217"/>
      <c r="G968" s="217"/>
      <c r="H968" s="217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</row>
    <row r="969" spans="1:26" ht="12.75">
      <c r="A969" s="217"/>
      <c r="B969" s="217"/>
      <c r="C969" s="217"/>
      <c r="D969" s="217"/>
      <c r="E969" s="217"/>
      <c r="F969" s="217"/>
      <c r="G969" s="217"/>
      <c r="H969" s="217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</row>
    <row r="970" spans="1:26" ht="12.75">
      <c r="A970" s="217"/>
      <c r="B970" s="217"/>
      <c r="C970" s="217"/>
      <c r="D970" s="217"/>
      <c r="E970" s="217"/>
      <c r="F970" s="217"/>
      <c r="G970" s="217"/>
      <c r="H970" s="217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</row>
    <row r="971" spans="1:26" ht="12.75">
      <c r="A971" s="217"/>
      <c r="B971" s="217"/>
      <c r="C971" s="217"/>
      <c r="D971" s="217"/>
      <c r="E971" s="217"/>
      <c r="F971" s="217"/>
      <c r="G971" s="217"/>
      <c r="H971" s="217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</row>
    <row r="972" spans="1:26" ht="12.75">
      <c r="A972" s="217"/>
      <c r="B972" s="217"/>
      <c r="C972" s="217"/>
      <c r="D972" s="217"/>
      <c r="E972" s="217"/>
      <c r="F972" s="217"/>
      <c r="G972" s="217"/>
      <c r="H972" s="217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</row>
    <row r="973" spans="1:26" ht="12.75">
      <c r="A973" s="217"/>
      <c r="B973" s="217"/>
      <c r="C973" s="217"/>
      <c r="D973" s="217"/>
      <c r="E973" s="217"/>
      <c r="F973" s="217"/>
      <c r="G973" s="217"/>
      <c r="H973" s="217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</row>
    <row r="974" spans="1:26" ht="12.75">
      <c r="A974" s="217"/>
      <c r="B974" s="217"/>
      <c r="C974" s="217"/>
      <c r="D974" s="217"/>
      <c r="E974" s="217"/>
      <c r="F974" s="217"/>
      <c r="G974" s="217"/>
      <c r="H974" s="217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</row>
    <row r="975" spans="1:26" ht="12.75">
      <c r="A975" s="217"/>
      <c r="B975" s="217"/>
      <c r="C975" s="217"/>
      <c r="D975" s="217"/>
      <c r="E975" s="217"/>
      <c r="F975" s="217"/>
      <c r="G975" s="217"/>
      <c r="H975" s="217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</row>
    <row r="976" spans="1:26" ht="12.75">
      <c r="A976" s="217"/>
      <c r="B976" s="217"/>
      <c r="C976" s="217"/>
      <c r="D976" s="217"/>
      <c r="E976" s="217"/>
      <c r="F976" s="217"/>
      <c r="G976" s="217"/>
      <c r="H976" s="217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</row>
    <row r="977" spans="1:26" ht="12.75">
      <c r="A977" s="217"/>
      <c r="B977" s="217"/>
      <c r="C977" s="217"/>
      <c r="D977" s="217"/>
      <c r="E977" s="217"/>
      <c r="F977" s="217"/>
      <c r="G977" s="217"/>
      <c r="H977" s="217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</row>
    <row r="978" spans="1:26" ht="12.75">
      <c r="A978" s="217"/>
      <c r="B978" s="217"/>
      <c r="C978" s="217"/>
      <c r="D978" s="217"/>
      <c r="E978" s="217"/>
      <c r="F978" s="217"/>
      <c r="G978" s="217"/>
      <c r="H978" s="217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</row>
    <row r="979" spans="1:26" ht="12.75">
      <c r="A979" s="217"/>
      <c r="B979" s="217"/>
      <c r="C979" s="217"/>
      <c r="D979" s="217"/>
      <c r="E979" s="217"/>
      <c r="F979" s="217"/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</row>
    <row r="980" spans="1:26" ht="12.75">
      <c r="A980" s="217"/>
      <c r="B980" s="217"/>
      <c r="C980" s="217"/>
      <c r="D980" s="217"/>
      <c r="E980" s="217"/>
      <c r="F980" s="217"/>
      <c r="G980" s="217"/>
      <c r="H980" s="217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</row>
    <row r="981" spans="1:26" ht="12.75">
      <c r="A981" s="217"/>
      <c r="B981" s="217"/>
      <c r="C981" s="217"/>
      <c r="D981" s="217"/>
      <c r="E981" s="217"/>
      <c r="F981" s="217"/>
      <c r="G981" s="217"/>
      <c r="H981" s="217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</row>
    <row r="982" spans="1:26" ht="12.75">
      <c r="A982" s="217"/>
      <c r="B982" s="217"/>
      <c r="C982" s="217"/>
      <c r="D982" s="217"/>
      <c r="E982" s="217"/>
      <c r="F982" s="217"/>
      <c r="G982" s="217"/>
      <c r="H982" s="217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</row>
    <row r="983" spans="1:26" ht="12.75">
      <c r="A983" s="217"/>
      <c r="B983" s="217"/>
      <c r="C983" s="217"/>
      <c r="D983" s="217"/>
      <c r="E983" s="217"/>
      <c r="F983" s="217"/>
      <c r="G983" s="217"/>
      <c r="H983" s="217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</row>
    <row r="984" spans="1:26" ht="12.75">
      <c r="A984" s="217"/>
      <c r="B984" s="217"/>
      <c r="C984" s="217"/>
      <c r="D984" s="217"/>
      <c r="E984" s="217"/>
      <c r="F984" s="217"/>
      <c r="G984" s="217"/>
      <c r="H984" s="217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</row>
    <row r="985" spans="1:26" ht="12.75">
      <c r="A985" s="217"/>
      <c r="B985" s="217"/>
      <c r="C985" s="217"/>
      <c r="D985" s="217"/>
      <c r="E985" s="217"/>
      <c r="F985" s="217"/>
      <c r="G985" s="217"/>
      <c r="H985" s="217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</row>
    <row r="986" spans="1:26" ht="12.75">
      <c r="A986" s="217"/>
      <c r="B986" s="217"/>
      <c r="C986" s="217"/>
      <c r="D986" s="217"/>
      <c r="E986" s="217"/>
      <c r="F986" s="217"/>
      <c r="G986" s="217"/>
      <c r="H986" s="217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</row>
    <row r="987" spans="1:26" ht="12.75">
      <c r="A987" s="217"/>
      <c r="B987" s="217"/>
      <c r="C987" s="217"/>
      <c r="D987" s="217"/>
      <c r="E987" s="217"/>
      <c r="F987" s="217"/>
      <c r="G987" s="217"/>
      <c r="H987" s="217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</row>
    <row r="988" spans="1:26" ht="12.75">
      <c r="A988" s="217"/>
      <c r="B988" s="217"/>
      <c r="C988" s="217"/>
      <c r="D988" s="217"/>
      <c r="E988" s="217"/>
      <c r="F988" s="217"/>
      <c r="G988" s="217"/>
      <c r="H988" s="217"/>
      <c r="I988" s="217"/>
      <c r="J988" s="217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</row>
    <row r="989" spans="1:26" ht="12.75">
      <c r="A989" s="217"/>
      <c r="B989" s="217"/>
      <c r="C989" s="217"/>
      <c r="D989" s="217"/>
      <c r="E989" s="217"/>
      <c r="F989" s="217"/>
      <c r="G989" s="217"/>
      <c r="H989" s="217"/>
      <c r="I989" s="217"/>
      <c r="J989" s="217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</row>
    <row r="990" spans="1:26" ht="12.75">
      <c r="A990" s="217"/>
      <c r="B990" s="217"/>
      <c r="C990" s="217"/>
      <c r="D990" s="217"/>
      <c r="E990" s="217"/>
      <c r="F990" s="217"/>
      <c r="G990" s="217"/>
      <c r="H990" s="217"/>
      <c r="I990" s="217"/>
      <c r="J990" s="217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</row>
    <row r="991" spans="1:26" ht="12.75">
      <c r="A991" s="217"/>
      <c r="B991" s="217"/>
      <c r="C991" s="217"/>
      <c r="D991" s="217"/>
      <c r="E991" s="217"/>
      <c r="F991" s="217"/>
      <c r="G991" s="217"/>
      <c r="H991" s="217"/>
      <c r="I991" s="217"/>
      <c r="J991" s="217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</row>
    <row r="992" spans="1:26" ht="12.75">
      <c r="A992" s="217"/>
      <c r="B992" s="217"/>
      <c r="C992" s="217"/>
      <c r="D992" s="217"/>
      <c r="E992" s="217"/>
      <c r="F992" s="217"/>
      <c r="G992" s="217"/>
      <c r="H992" s="217"/>
      <c r="I992" s="217"/>
      <c r="J992" s="217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</row>
    <row r="993" spans="1:26" ht="12.75">
      <c r="A993" s="217"/>
      <c r="B993" s="217"/>
      <c r="C993" s="217"/>
      <c r="D993" s="217"/>
      <c r="E993" s="217"/>
      <c r="F993" s="217"/>
      <c r="G993" s="217"/>
      <c r="H993" s="217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</row>
    <row r="994" spans="1:26" ht="12.75">
      <c r="A994" s="217"/>
      <c r="B994" s="217"/>
      <c r="C994" s="217"/>
      <c r="D994" s="217"/>
      <c r="E994" s="217"/>
      <c r="F994" s="217"/>
      <c r="G994" s="217"/>
      <c r="H994" s="217"/>
      <c r="I994" s="217"/>
      <c r="J994" s="217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</row>
    <row r="995" spans="1:26" ht="12.75">
      <c r="A995" s="217"/>
      <c r="B995" s="217"/>
      <c r="C995" s="217"/>
      <c r="D995" s="217"/>
      <c r="E995" s="217"/>
      <c r="F995" s="217"/>
      <c r="G995" s="217"/>
      <c r="H995" s="217"/>
      <c r="I995" s="217"/>
      <c r="J995" s="217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</row>
    <row r="996" spans="1:26" ht="12.75">
      <c r="A996" s="217"/>
      <c r="B996" s="217"/>
      <c r="C996" s="217"/>
      <c r="D996" s="217"/>
      <c r="E996" s="217"/>
      <c r="F996" s="217"/>
      <c r="G996" s="217"/>
      <c r="H996" s="217"/>
      <c r="I996" s="217"/>
      <c r="J996" s="217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</row>
    <row r="997" spans="1:26" ht="12.75">
      <c r="A997" s="217"/>
      <c r="B997" s="217"/>
      <c r="C997" s="217"/>
      <c r="D997" s="217"/>
      <c r="E997" s="217"/>
      <c r="F997" s="217"/>
      <c r="G997" s="217"/>
      <c r="H997" s="217"/>
      <c r="I997" s="217"/>
      <c r="J997" s="217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</row>
    <row r="998" spans="1:26" ht="12.75">
      <c r="A998" s="217"/>
      <c r="B998" s="217"/>
      <c r="C998" s="217"/>
      <c r="D998" s="217"/>
      <c r="E998" s="217"/>
      <c r="F998" s="217"/>
      <c r="G998" s="217"/>
      <c r="H998" s="217"/>
      <c r="I998" s="217"/>
      <c r="J998" s="217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</row>
    <row r="999" spans="1:26" ht="12.75">
      <c r="A999" s="217"/>
      <c r="B999" s="217"/>
      <c r="C999" s="217"/>
      <c r="D999" s="217"/>
      <c r="E999" s="217"/>
      <c r="F999" s="217"/>
      <c r="G999" s="217"/>
      <c r="H999" s="217"/>
      <c r="I999" s="217"/>
      <c r="J999" s="217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</row>
    <row r="1000" spans="1:26" ht="12.75">
      <c r="A1000" s="217"/>
      <c r="B1000" s="217"/>
      <c r="C1000" s="217"/>
      <c r="D1000" s="217"/>
      <c r="E1000" s="217"/>
      <c r="F1000" s="217"/>
      <c r="G1000" s="217"/>
      <c r="H1000" s="217"/>
      <c r="I1000" s="217"/>
      <c r="J1000" s="217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</row>
  </sheetData>
  <mergeCells count="14">
    <mergeCell ref="G56:I56"/>
    <mergeCell ref="J56:L56"/>
    <mergeCell ref="A63:B63"/>
    <mergeCell ref="C63:D63"/>
    <mergeCell ref="G63:I63"/>
    <mergeCell ref="J63:L63"/>
    <mergeCell ref="C56:D56"/>
    <mergeCell ref="A56:B56"/>
    <mergeCell ref="A1:L6"/>
    <mergeCell ref="A12:L12"/>
    <mergeCell ref="A55:B55"/>
    <mergeCell ref="C55:D55"/>
    <mergeCell ref="G55:I55"/>
    <mergeCell ref="J55:L55"/>
  </mergeCells>
  <pageMargins left="0.7" right="0.7" top="0.75" bottom="0.75" header="0" footer="0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support table</vt:lpstr>
      <vt:lpstr>ATP CW Cover</vt:lpstr>
      <vt:lpstr>MASTER_FAT</vt:lpstr>
      <vt:lpstr>FDT</vt:lpstr>
      <vt:lpstr>MASTER_POLE</vt:lpstr>
      <vt:lpstr>Trenching</vt:lpstr>
      <vt:lpstr>Road and Railway</vt:lpstr>
      <vt:lpstr>Bridges Crossing</vt:lpstr>
      <vt:lpstr>Precast Handhole</vt:lpstr>
      <vt:lpstr>Handhole</vt:lpstr>
      <vt:lpstr>Boring Rojok Manual</vt:lpstr>
      <vt:lpstr>Building cable access</vt:lpstr>
      <vt:lpstr>Cable installation</vt:lpstr>
      <vt:lpstr>BA RECTIFIKASI CW ATP</vt:lpstr>
      <vt:lpstr>CW Punchpoint defect list</vt:lpstr>
      <vt:lpstr>Cover CW OPM</vt:lpstr>
      <vt:lpstr>MASTER_OPM</vt:lpstr>
      <vt:lpstr>MASTER_OPM_DISTRIBUTION</vt:lpstr>
      <vt:lpstr>MASTER OTDR Sumary (FDT-FAT)</vt:lpstr>
      <vt:lpstr>OTDR Summary </vt:lpstr>
      <vt:lpstr>OPM Punchpoint defect list</vt:lpstr>
      <vt:lpstr>BA RECTIFIKASI OPM</vt:lpstr>
      <vt:lpstr>BA Splitter FDT</vt:lpstr>
      <vt:lpstr>BA Splitter FAT</vt:lpstr>
      <vt:lpstr>BAST Key</vt:lpstr>
      <vt:lpstr>BA LAPANGAN</vt:lpstr>
      <vt:lpstr>'CW Punchpoint defect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sidepan</dc:creator>
  <cp:lastModifiedBy>Admin</cp:lastModifiedBy>
  <cp:lastPrinted>2026-06-20T18:19:17Z</cp:lastPrinted>
  <dcterms:created xsi:type="dcterms:W3CDTF">2003-07-18T09:20:00Z</dcterms:created>
  <dcterms:modified xsi:type="dcterms:W3CDTF">2026-06-26T23:50:24Z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9C141159E06D43818903F7C73CD2A0FB_12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